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MELC\xml-automation\automatic_xml_creator\"/>
    </mc:Choice>
  </mc:AlternateContent>
  <bookViews>
    <workbookView xWindow="-105" yWindow="-105" windowWidth="28995" windowHeight="15675"/>
  </bookViews>
  <sheets>
    <sheet name="Run_settings" sheetId="2" r:id="rId1"/>
    <sheet name="MELC_panel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  <c r="I76" i="1" s="1"/>
  <c r="I77" i="1" s="1"/>
  <c r="H75" i="1"/>
  <c r="H76" i="1" s="1"/>
  <c r="H77" i="1" s="1"/>
  <c r="G74" i="1"/>
  <c r="G73" i="1"/>
  <c r="G72" i="1"/>
  <c r="G71" i="1"/>
  <c r="G70" i="1"/>
  <c r="G69" i="1"/>
  <c r="G68" i="1"/>
  <c r="F68" i="1" s="1"/>
  <c r="G67" i="1"/>
  <c r="G66" i="1"/>
  <c r="G65" i="1"/>
  <c r="F65" i="1" s="1"/>
  <c r="G64" i="1"/>
  <c r="F64" i="1" s="1"/>
  <c r="G63" i="1"/>
  <c r="F63" i="1" s="1"/>
  <c r="G62" i="1"/>
  <c r="F62" i="1" s="1"/>
  <c r="G61" i="1"/>
  <c r="F61" i="1" s="1"/>
  <c r="G60" i="1"/>
  <c r="F60" i="1" s="1"/>
  <c r="G59" i="1"/>
  <c r="F59" i="1" s="1"/>
  <c r="G58" i="1"/>
  <c r="F58" i="1" s="1"/>
  <c r="G57" i="1"/>
  <c r="F57" i="1" s="1"/>
  <c r="G56" i="1"/>
  <c r="F56" i="1" s="1"/>
  <c r="G55" i="1"/>
  <c r="F55" i="1" s="1"/>
  <c r="G54" i="1"/>
  <c r="F54" i="1" s="1"/>
  <c r="G53" i="1"/>
  <c r="F53" i="1" s="1"/>
  <c r="G52" i="1"/>
  <c r="F52" i="1" s="1"/>
  <c r="G51" i="1"/>
  <c r="F51" i="1" s="1"/>
  <c r="G50" i="1"/>
  <c r="F50" i="1"/>
  <c r="G49" i="1"/>
  <c r="F49" i="1" s="1"/>
  <c r="G48" i="1"/>
  <c r="F48" i="1" s="1"/>
  <c r="G47" i="1"/>
  <c r="F47" i="1" s="1"/>
  <c r="G46" i="1"/>
  <c r="F46" i="1" s="1"/>
  <c r="G45" i="1"/>
  <c r="F45" i="1" s="1"/>
  <c r="G44" i="1"/>
  <c r="F44" i="1" s="1"/>
  <c r="G43" i="1"/>
  <c r="F43" i="1" s="1"/>
  <c r="G42" i="1"/>
  <c r="F42" i="1"/>
  <c r="G41" i="1"/>
  <c r="F41" i="1" s="1"/>
  <c r="G40" i="1"/>
  <c r="F40" i="1" s="1"/>
  <c r="G39" i="1"/>
  <c r="F39" i="1"/>
  <c r="G38" i="1"/>
  <c r="F38" i="1" s="1"/>
  <c r="G37" i="1"/>
  <c r="F37" i="1" s="1"/>
  <c r="G36" i="1"/>
  <c r="F36" i="1" s="1"/>
  <c r="G35" i="1"/>
  <c r="F35" i="1" s="1"/>
  <c r="G34" i="1"/>
  <c r="F34" i="1" s="1"/>
  <c r="G33" i="1"/>
  <c r="F33" i="1" s="1"/>
  <c r="G32" i="1"/>
  <c r="F32" i="1" s="1"/>
  <c r="G31" i="1"/>
  <c r="F31" i="1" s="1"/>
  <c r="G30" i="1"/>
  <c r="F30" i="1" s="1"/>
  <c r="G29" i="1"/>
  <c r="F29" i="1" s="1"/>
  <c r="G28" i="1"/>
  <c r="F28" i="1" s="1"/>
  <c r="G27" i="1"/>
  <c r="F27" i="1" s="1"/>
  <c r="G26" i="1"/>
  <c r="F26" i="1" s="1"/>
  <c r="G25" i="1"/>
  <c r="F25" i="1" s="1"/>
  <c r="G24" i="1"/>
  <c r="F24" i="1" s="1"/>
  <c r="G23" i="1"/>
  <c r="F23" i="1" s="1"/>
  <c r="G22" i="1"/>
  <c r="F22" i="1" s="1"/>
  <c r="G21" i="1"/>
  <c r="F21" i="1" s="1"/>
  <c r="G20" i="1"/>
  <c r="F20" i="1" s="1"/>
  <c r="G19" i="1"/>
  <c r="G18" i="1"/>
  <c r="G17" i="1"/>
  <c r="G16" i="1"/>
  <c r="G15" i="1"/>
  <c r="G14" i="1"/>
  <c r="G13" i="1"/>
  <c r="G12" i="1"/>
  <c r="G11" i="1"/>
  <c r="G9" i="1"/>
  <c r="G8" i="1"/>
  <c r="G7" i="1"/>
  <c r="F7" i="1"/>
  <c r="F3" i="1"/>
  <c r="F70" i="1" l="1"/>
  <c r="F18" i="1"/>
  <c r="F11" i="1"/>
  <c r="F66" i="1"/>
  <c r="F14" i="1"/>
  <c r="F16" i="1"/>
  <c r="F72" i="1"/>
  <c r="I78" i="1"/>
  <c r="I79" i="1" s="1"/>
  <c r="I80" i="1" s="1"/>
</calcChain>
</file>

<file path=xl/sharedStrings.xml><?xml version="1.0" encoding="utf-8"?>
<sst xmlns="http://schemas.openxmlformats.org/spreadsheetml/2006/main" count="501" uniqueCount="364">
  <si>
    <t>CD45</t>
  </si>
  <si>
    <t>B cells</t>
  </si>
  <si>
    <t>B220</t>
  </si>
  <si>
    <t>CD19</t>
  </si>
  <si>
    <t>IRF4</t>
  </si>
  <si>
    <t>CD138</t>
  </si>
  <si>
    <t>Kappa</t>
  </si>
  <si>
    <t>TCRa/b</t>
  </si>
  <si>
    <t>TCRg/d</t>
  </si>
  <si>
    <t>CD3</t>
  </si>
  <si>
    <t>CD69</t>
  </si>
  <si>
    <t>CD4</t>
  </si>
  <si>
    <t>CD8a</t>
  </si>
  <si>
    <t>CD127</t>
  </si>
  <si>
    <t>CD90.2</t>
  </si>
  <si>
    <t>GATA3</t>
  </si>
  <si>
    <t>Tbet</t>
  </si>
  <si>
    <t>RORgt</t>
  </si>
  <si>
    <t>Eomes</t>
  </si>
  <si>
    <t>NK1.1</t>
  </si>
  <si>
    <t>KLRG1</t>
  </si>
  <si>
    <t>CD49a</t>
  </si>
  <si>
    <t>pSTAT6</t>
  </si>
  <si>
    <t>Perforin</t>
  </si>
  <si>
    <t>Granzyme A</t>
  </si>
  <si>
    <t>CD68</t>
  </si>
  <si>
    <t>F4/80</t>
  </si>
  <si>
    <t>CD11c</t>
  </si>
  <si>
    <t>CD11b</t>
  </si>
  <si>
    <t>CD169</t>
  </si>
  <si>
    <t>CD80</t>
  </si>
  <si>
    <t>CD163</t>
  </si>
  <si>
    <t>Mac2</t>
  </si>
  <si>
    <t>CD115</t>
  </si>
  <si>
    <t>Ly6C</t>
  </si>
  <si>
    <t>Ly6G</t>
  </si>
  <si>
    <t>CD206</t>
  </si>
  <si>
    <t>SiglecF</t>
  </si>
  <si>
    <t>CD31</t>
  </si>
  <si>
    <t>EMCN</t>
  </si>
  <si>
    <t>COLIV</t>
  </si>
  <si>
    <t>CD146</t>
  </si>
  <si>
    <t>CD105</t>
  </si>
  <si>
    <t>CD200</t>
  </si>
  <si>
    <t>FN</t>
  </si>
  <si>
    <t>PDPN</t>
  </si>
  <si>
    <t>PDGFRa</t>
  </si>
  <si>
    <t>PDGFRb</t>
  </si>
  <si>
    <t>Sca1</t>
  </si>
  <si>
    <t>VIM</t>
  </si>
  <si>
    <t>SMA</t>
  </si>
  <si>
    <t>EpCAM</t>
  </si>
  <si>
    <t>CD24</t>
  </si>
  <si>
    <t>MHCII</t>
  </si>
  <si>
    <t>Ki67</t>
  </si>
  <si>
    <t>ICOS</t>
  </si>
  <si>
    <t>CD44</t>
  </si>
  <si>
    <t>PD1</t>
  </si>
  <si>
    <t>Name</t>
  </si>
  <si>
    <t>Dye</t>
  </si>
  <si>
    <t>Company</t>
  </si>
  <si>
    <t>Clone</t>
  </si>
  <si>
    <t>Well</t>
  </si>
  <si>
    <t>Dilution</t>
  </si>
  <si>
    <t>PBS</t>
  </si>
  <si>
    <t>Amount antibody</t>
  </si>
  <si>
    <t>Vial</t>
  </si>
  <si>
    <t>Comment</t>
  </si>
  <si>
    <t xml:space="preserve">Incubation time </t>
  </si>
  <si>
    <t>Bleaching time</t>
  </si>
  <si>
    <t>Cell Types (Mouse Lung Context)</t>
  </si>
  <si>
    <t>Main Function of the Marker</t>
  </si>
  <si>
    <t>Blocking</t>
  </si>
  <si>
    <t>PE</t>
  </si>
  <si>
    <t>A488</t>
  </si>
  <si>
    <t>APC</t>
  </si>
  <si>
    <t>A1</t>
  </si>
  <si>
    <t>A405</t>
  </si>
  <si>
    <t>Biolegend</t>
  </si>
  <si>
    <t>RM4-5</t>
  </si>
  <si>
    <t>A2</t>
  </si>
  <si>
    <t>Red cap SK</t>
  </si>
  <si>
    <t>T Helper cells (Th), some NKT cells, Inducers</t>
  </si>
  <si>
    <t>Co-receptor for MHC Class II; signal amplification in T cell activation.</t>
  </si>
  <si>
    <t>a-GFP</t>
  </si>
  <si>
    <t>Rockland</t>
  </si>
  <si>
    <t>polyclonal</t>
  </si>
  <si>
    <t>Normal eppi SK</t>
  </si>
  <si>
    <t>GFP+ cells (Transgenic reporters)</t>
  </si>
  <si>
    <t>Anti-GFP antibody: Used to detect Green Fluorescent Protein in genetically modified cells.</t>
  </si>
  <si>
    <t>Miltenyi</t>
  </si>
  <si>
    <t>Plasma cells, DCs, Th2/Th17 cells</t>
  </si>
  <si>
    <t>Transcription factor regulating lymphocyte differentiation and DC priming.</t>
  </si>
  <si>
    <t>DAPI</t>
  </si>
  <si>
    <t>BD</t>
  </si>
  <si>
    <t>Q31-378</t>
  </si>
  <si>
    <t>A3</t>
  </si>
  <si>
    <t>Th17 cells, ILC3, some Gamma-Delta T cells</t>
  </si>
  <si>
    <t>Transcription factor driving Th17 differentiation and IL-17 production.</t>
  </si>
  <si>
    <t>FITC</t>
  </si>
  <si>
    <t>DRFZ</t>
  </si>
  <si>
    <t>187.2</t>
  </si>
  <si>
    <t>Ig kappa Light Chain: Component of the B Cell Receptor/Antibody.</t>
  </si>
  <si>
    <t>A647</t>
  </si>
  <si>
    <t>4B10</t>
  </si>
  <si>
    <t>Th1 cells, ILC1, NK cells</t>
  </si>
  <si>
    <t>Transcription factor driving Th1 differentiation and IFNg production.</t>
  </si>
  <si>
    <t>Invitrogen</t>
  </si>
  <si>
    <t>A7R34</t>
  </si>
  <si>
    <t>A4</t>
  </si>
  <si>
    <t>Naive/Memory T cells, ILCs (Low on Tregs)</t>
  </si>
  <si>
    <t>IL-7 Receptor alpha: Essential for lymphocyte survival and homeostasis.</t>
  </si>
  <si>
    <t>Abcam</t>
  </si>
  <si>
    <t>abcam eppi white cap SK</t>
  </si>
  <si>
    <t>Myofibroblasts, Smooth Muscle Cells</t>
  </si>
  <si>
    <t>alpha-Smooth Muscle Actin: Cytoskeletal protein enabling contraction.</t>
  </si>
  <si>
    <t>SolA15</t>
  </si>
  <si>
    <t>A5</t>
  </si>
  <si>
    <t>Proliferating cells (any type)</t>
  </si>
  <si>
    <t>Nuclear protein associated with cell proliferation (absent in G0 phase).</t>
  </si>
  <si>
    <t>Basement Membrane (Endothelium/Epithelium)</t>
  </si>
  <si>
    <t>Collagen IV: Structural ECM component; provides scaffolding for tissues.</t>
  </si>
  <si>
    <t>281-2</t>
  </si>
  <si>
    <t>A6</t>
  </si>
  <si>
    <t>Plasma cells, Epithelial cells</t>
  </si>
  <si>
    <t>Syndecan-1: Cell adhesion molecule; binds chemokines and growth factors in the ECM.</t>
  </si>
  <si>
    <t>EPR3776</t>
  </si>
  <si>
    <t>Mesenchymal cells (Fibroblasts, Endothelium, Immune)</t>
  </si>
  <si>
    <t>Vimentin: Intermediate filament protein; marker of Epithelial-Mesenchymal Transition (EMT).</t>
  </si>
  <si>
    <t>BD/invitrogen</t>
  </si>
  <si>
    <t>L50-823</t>
  </si>
  <si>
    <t>A7</t>
  </si>
  <si>
    <t>Th2 cells, ILC2</t>
  </si>
  <si>
    <t>Transcription factor driving Th2 differentiation (crucial for allergic airway inflammation).</t>
  </si>
  <si>
    <t>3D6.112</t>
  </si>
  <si>
    <t>A8</t>
  </si>
  <si>
    <t>White cap red klebi SK</t>
  </si>
  <si>
    <t>Alveolar Macrophages (subset), Metallophilic M$\phi$</t>
  </si>
  <si>
    <t>Siglec-1: Sialic acid receptor involved in pathogen capture/presentation.</t>
  </si>
  <si>
    <t>A9</t>
  </si>
  <si>
    <t>Brown eppi</t>
  </si>
  <si>
    <t>Endothelial cells, Pericytes</t>
  </si>
  <si>
    <t>MCAM: Adhesion molecule involved in vascular permeability and cohesion.</t>
  </si>
  <si>
    <t>2F1/KLRG1</t>
  </si>
  <si>
    <t>A10</t>
  </si>
  <si>
    <t>Senescent or Terminal Effector T/NK cells</t>
  </si>
  <si>
    <t>Inhibitory receptor (cadherin-binding); marks terminal differentiation.</t>
  </si>
  <si>
    <t>Novus Bio</t>
  </si>
  <si>
    <t>177C322.1</t>
  </si>
  <si>
    <t>A11</t>
  </si>
  <si>
    <t>IL-4/IL-13 responsive cells (Th2, Macrophages)</t>
  </si>
  <si>
    <t>Phosphorylated transcription factor mediating allergic/Th2 signaling.</t>
  </si>
  <si>
    <r>
      <t>Invitrogen</t>
    </r>
    <r>
      <rPr>
        <sz val="8"/>
        <color theme="1"/>
        <rFont val="Aptos Narrow"/>
        <family val="2"/>
      </rPr>
      <t xml:space="preserve"> (self coupled)</t>
    </r>
  </si>
  <si>
    <t>TNKUPJ</t>
  </si>
  <si>
    <t>A12</t>
  </si>
  <si>
    <t>White cap SK</t>
  </si>
  <si>
    <t>M2 Macrophages (Anti-inflammatory)</t>
  </si>
  <si>
    <t>Scavenger receptor for Hemoglobin-Haptoglobin complexes; resolves inflammation.</t>
  </si>
  <si>
    <t>29F.1A12</t>
  </si>
  <si>
    <t>B1</t>
  </si>
  <si>
    <t>Activated/Exhausted T cells</t>
  </si>
  <si>
    <t>Programmed Death-1: Inhibitory receptor; "brake" on immune system (Check point).</t>
  </si>
  <si>
    <t>REA754</t>
  </si>
  <si>
    <t>B2</t>
  </si>
  <si>
    <t>Alveolar Macrophages, Dendritic Cells (DCs)</t>
  </si>
  <si>
    <t>Integrin alpha: Adhesion molecule; mediates binding to endothelium and complement.</t>
  </si>
  <si>
    <t>145-2C11</t>
  </si>
  <si>
    <t>B3</t>
  </si>
  <si>
    <t>T cells (all subsets)</t>
  </si>
  <si>
    <t>Signaling complex associated with the T Cell Receptor (TCR).</t>
  </si>
  <si>
    <t>M5/114.15.2</t>
  </si>
  <si>
    <t>B4</t>
  </si>
  <si>
    <t>APCs (DCs, B cells, Macrophages), Activated Epithelium</t>
  </si>
  <si>
    <t>MHC Class II: Presents extracellular antigens to CD4+ T cells.</t>
  </si>
  <si>
    <t>FoxP3</t>
  </si>
  <si>
    <t>REA788</t>
  </si>
  <si>
    <t>B5</t>
  </si>
  <si>
    <t>Regulatory T cells (Tregs)</t>
  </si>
  <si>
    <t>Master transcription factor for Treg development and suppressive function.</t>
  </si>
  <si>
    <t>Gr1</t>
  </si>
  <si>
    <t>REA810</t>
  </si>
  <si>
    <t>B6</t>
  </si>
  <si>
    <t>Granulocytes (Neutrophils), Inflammatory Monocytes</t>
  </si>
  <si>
    <t>Ly6C/Ly6G: Myeloid differentiation antigen; marks recruitment to inflamed tissue.</t>
  </si>
  <si>
    <t>Dan11mag</t>
  </si>
  <si>
    <t>B7</t>
  </si>
  <si>
    <t>CD8+ Effector/Memory T cells, NK cells</t>
  </si>
  <si>
    <t>Transcription factor driving cytotoxic differentiation and memory formation.</t>
  </si>
  <si>
    <t>APA5</t>
  </si>
  <si>
    <t>B8</t>
  </si>
  <si>
    <t>Alveolar Fibroblasts (Lipofibroblasts), MSCs</t>
  </si>
  <si>
    <t>PDGF Receptor alpha: Mediates signals for cell growth and division during lung repair.</t>
  </si>
  <si>
    <t>E50-2440</t>
  </si>
  <si>
    <t>B9</t>
  </si>
  <si>
    <t>Alveolar Macrophages, Eosinophils</t>
  </si>
  <si>
    <t>Sialic acid-binding lectin; regulates cell survival and dampens activation.</t>
  </si>
  <si>
    <t>REA192</t>
  </si>
  <si>
    <t>B10</t>
  </si>
  <si>
    <t>Activated T cells, T Follicular Helper (Tfh)</t>
  </si>
  <si>
    <t>Co-stimulatory molecule related to CD28; vital for antibody production/germinal centers.</t>
  </si>
  <si>
    <t>Lyve1</t>
  </si>
  <si>
    <t>ALY7</t>
  </si>
  <si>
    <t>B11</t>
  </si>
  <si>
    <t>Lymphatic Endothelial cells, interstitial Macrophages</t>
  </si>
  <si>
    <t>Hyaluronan receptor facilitating trafficking into lymphatics.</t>
  </si>
  <si>
    <t>REA755</t>
  </si>
  <si>
    <t>B12</t>
  </si>
  <si>
    <t>Orange cap SK</t>
  </si>
  <si>
    <t>B cells, Plasmacytoid DCs (pDCs)</t>
  </si>
  <si>
    <t>CD45R: Form of CD45 specific to B cell lineage and maturation.</t>
  </si>
  <si>
    <t>G8.8</t>
  </si>
  <si>
    <t>C1</t>
  </si>
  <si>
    <t>Epithelial cells (Alveolar &amp; Airway)</t>
  </si>
  <si>
    <t>Homophilic cell adhesion molecule; maintains epithelial integrity.</t>
  </si>
  <si>
    <t>REA601</t>
  </si>
  <si>
    <t>C2</t>
  </si>
  <si>
    <t>Cytotoxic T cells, CD8+ DCs</t>
  </si>
  <si>
    <t>Co-receptor for MHC Class I; mediates cytotoxic response.</t>
  </si>
  <si>
    <t>C068C2</t>
  </si>
  <si>
    <t>C3</t>
  </si>
  <si>
    <t>M2 Macrophages, Dendritic Cells</t>
  </si>
  <si>
    <t>Mannose Receptor: Pattern recognition receptor (lectin) for phagocytosis.</t>
  </si>
  <si>
    <t>REA1162</t>
  </si>
  <si>
    <t>C4</t>
  </si>
  <si>
    <t>NK cells, NKT cells (specific mouse strains like B6)</t>
  </si>
  <si>
    <t>Lectin-like receptor involved in NK cell activation.</t>
  </si>
  <si>
    <t>REA784</t>
  </si>
  <si>
    <t>C5</t>
  </si>
  <si>
    <t>Endothelial cells</t>
  </si>
  <si>
    <t>PECAM-1: Adhesion molecule crucial for leukocyte transmigration through vessel walls.</t>
  </si>
  <si>
    <t>CD25</t>
  </si>
  <si>
    <t>eBioscience</t>
  </si>
  <si>
    <t>PC61.5</t>
  </si>
  <si>
    <t>C6</t>
  </si>
  <si>
    <t>iNOS</t>
  </si>
  <si>
    <t>invitrogen</t>
  </si>
  <si>
    <t>CXNFT</t>
  </si>
  <si>
    <t>C7</t>
  </si>
  <si>
    <t>M1 Macrophages, Inflamed Epithelium</t>
  </si>
  <si>
    <t>Inducible Nitric Oxide Synthase: Enzyme producing NO to kill pathogens (pro-inflammatory).</t>
  </si>
  <si>
    <t>eBio8.1.1</t>
  </si>
  <si>
    <t>C8</t>
  </si>
  <si>
    <t>Type I Alveolar Epithelial Cells (AECI), Lymphatics</t>
  </si>
  <si>
    <t>Podoplanin: Regulates cell shape and platelet aggregation; lung injury marker.</t>
  </si>
  <si>
    <t>C9</t>
  </si>
  <si>
    <t>Macrophages (Pan-macrophage)</t>
  </si>
  <si>
    <t>Scavenger receptor for clearing cellular debris and oxidized lipids.</t>
  </si>
  <si>
    <t>2755-8</t>
  </si>
  <si>
    <t>C10</t>
  </si>
  <si>
    <t>Extracellular Matrix (Fibroblasts/Epithelium)</t>
  </si>
  <si>
    <t>Fibronectin: ECM glycoprotein mediating cell adhesion, migration, and wound healing.</t>
  </si>
  <si>
    <t>M3/38</t>
  </si>
  <si>
    <t>C11</t>
  </si>
  <si>
    <t>Inflammatory Macrophages, Epithelium</t>
  </si>
  <si>
    <t>Galectin-3: Soluble lectin regulating macrophage activation and fibrosis.</t>
  </si>
  <si>
    <t>REA749 | 6D5</t>
  </si>
  <si>
    <t>C12</t>
  </si>
  <si>
    <t>Co-receptor that amplifies B cell receptor (BCR) signaling.</t>
  </si>
  <si>
    <t>REA318</t>
  </si>
  <si>
    <t>D1</t>
  </si>
  <si>
    <t>alpha\beta T cells (Standard T cells)</t>
  </si>
  <si>
    <t>Antigen receptor recognizing peptide-MHC complexes.</t>
  </si>
  <si>
    <t>REA983</t>
  </si>
  <si>
    <t>D2</t>
  </si>
  <si>
    <t>Activated APCs (DCs, Macrophages, B cells)</t>
  </si>
  <si>
    <t>Co-stimulatory molecule (B7-1); binds CD28 (activation) or CTLA-4 (inhibition).</t>
  </si>
  <si>
    <t>OX-90</t>
  </si>
  <si>
    <t>D3</t>
  </si>
  <si>
    <t>White cap red  klebi SK</t>
  </si>
  <si>
    <t>Airway Epithelium, Endothelium</t>
  </si>
  <si>
    <t>Immune checkpoint molecule; binds CD200R on myeloid cells to suppress inflammation.</t>
  </si>
  <si>
    <t>D4</t>
  </si>
  <si>
    <t>gamma\delta T cells (Mucosal/Skin residents)</t>
  </si>
  <si>
    <t>Antigen receptor recognizing conserved non-peptide antigens (stress signals).</t>
  </si>
  <si>
    <t>REA938</t>
  </si>
  <si>
    <t>D5</t>
  </si>
  <si>
    <t>Activated T/B/NK cells, Tissue Resident Memory T cells</t>
  </si>
  <si>
    <t>Early activation marker; suppresses S1P1 to keep cells retained in tissue.</t>
  </si>
  <si>
    <t>HMa1</t>
  </si>
  <si>
    <t>D6</t>
  </si>
  <si>
    <t>Tissue Resident Memory T cells (TRM)</t>
  </si>
  <si>
    <t>Integrin alpha1: Binds Collagen IV; retains T cells in the lung tissue.</t>
  </si>
  <si>
    <t>S1609B</t>
  </si>
  <si>
    <t>D7</t>
  </si>
  <si>
    <t>Cytotoxic T cells, NK cells</t>
  </si>
  <si>
    <t>Pore-forming protein enabling cytolytic granules to enter target cells.</t>
  </si>
  <si>
    <t>REA743</t>
  </si>
  <si>
    <t>D8</t>
  </si>
  <si>
    <t>B cells, Granulocytes, Epithelium</t>
  </si>
  <si>
    <t>Heat Stable Antigen: Modulates cell signaling and adhesion.</t>
  </si>
  <si>
    <t>GzM-3G8.5</t>
  </si>
  <si>
    <t>D9</t>
  </si>
  <si>
    <t>Serine protease that induces caspase-independent apoptosis (cell death).</t>
  </si>
  <si>
    <t>REA592</t>
  </si>
  <si>
    <t>D10</t>
  </si>
  <si>
    <t>Myeloid cells (Mono/Neutrophil), NK cells</t>
  </si>
  <si>
    <t>Integrin alpha M: Mediate adhesion to ICAM-1 and migration (Mac-1 complex).</t>
  </si>
  <si>
    <t>REA827</t>
  </si>
  <si>
    <t>D11</t>
  </si>
  <si>
    <t>Monocytes, Macrophages</t>
  </si>
  <si>
    <t>CSF-1R: M-CSF Receptor; critical for macrophage differentiation/survival.</t>
  </si>
  <si>
    <t>BioRad</t>
  </si>
  <si>
    <t>D12</t>
  </si>
  <si>
    <t>Big flask</t>
  </si>
  <si>
    <t>Inflammatory Monocytes</t>
  </si>
  <si>
    <t>GPI-anchored protein; marks monocytes recruited from bone marrow to lung.</t>
  </si>
  <si>
    <t>REA664</t>
  </si>
  <si>
    <t>E1</t>
  </si>
  <si>
    <t>Effector/Memory T cells, Cancer Stem Cells</t>
  </si>
  <si>
    <t>Hyaluronan receptor; mediates cell migration and homing to inflamed tissues.</t>
  </si>
  <si>
    <t>1A8</t>
  </si>
  <si>
    <t>E2</t>
  </si>
  <si>
    <t>Neutrophils</t>
  </si>
  <si>
    <t>GPI-anchored protein (component of Gr1); specific neutrophil marker.</t>
  </si>
  <si>
    <t>eBioV.7C7</t>
  </si>
  <si>
    <t>E3</t>
  </si>
  <si>
    <t>Capillary Endothelial cells</t>
  </si>
  <si>
    <t>Endomucin: Sialomucin inhibiting cell adhesion (prevents leukocyte sticking).</t>
  </si>
  <si>
    <t>TIM1</t>
  </si>
  <si>
    <t>REA692</t>
  </si>
  <si>
    <t>E4</t>
  </si>
  <si>
    <t>check if right clone</t>
  </si>
  <si>
    <t>Th2 cells, Damaged Epithelium, B-regs</t>
  </si>
  <si>
    <t>HAVCR1: Costimulatory molecule; regulates Th2 responses and allergy.</t>
  </si>
  <si>
    <t>Pax5</t>
  </si>
  <si>
    <t>E5</t>
  </si>
  <si>
    <t>Transcription factor essential for B cell lineage commitment.</t>
  </si>
  <si>
    <t>Blue cap SK</t>
  </si>
  <si>
    <t>Stem cells, Endothelium, Fibroblasts (inflammation)</t>
  </si>
  <si>
    <t>Ly6a: Marker of stemness and activation (often upregulated by IFNg in lung injury).</t>
  </si>
  <si>
    <t>MJ7/18</t>
  </si>
  <si>
    <t>E6</t>
  </si>
  <si>
    <t>Activated Endothelium, MSCs</t>
  </si>
  <si>
    <t>Endoglin: TGF-beta co-receptor; regulates angiogenesis and vascular remodeling.</t>
  </si>
  <si>
    <t>Paola</t>
  </si>
  <si>
    <t>Pericytes, Fibroblasts (Myofibroblasts)</t>
  </si>
  <si>
    <t>PDGF Receptor beta: regulates pericyte recruitment and fibrosis.</t>
  </si>
  <si>
    <t>REA126</t>
  </si>
  <si>
    <t>E7</t>
  </si>
  <si>
    <t>works nicely in BM</t>
  </si>
  <si>
    <t>Macrophages (most mature tissue Macrophages)</t>
  </si>
  <si>
    <t>Emr1: G-protein coupled receptor involved in adhesion and induction of tolerance.</t>
  </si>
  <si>
    <t>30-H12</t>
  </si>
  <si>
    <t>T cells, ILCs, Fibroblasts, Endothelium</t>
  </si>
  <si>
    <t>Thy1.2: Glycoprotein involved in cell-cell interactions and T cell activation.</t>
  </si>
  <si>
    <t>30-F11</t>
  </si>
  <si>
    <t>E8</t>
  </si>
  <si>
    <t>All Leukocytes (Immune cells)</t>
  </si>
  <si>
    <t>PTPRC: Tyrosine phosphatase essential for T/B cell antigen receptor signaling.</t>
  </si>
  <si>
    <t>BIO RAD</t>
  </si>
  <si>
    <t>A3-1</t>
  </si>
  <si>
    <t>worked in lung</t>
  </si>
  <si>
    <t>Sytox</t>
  </si>
  <si>
    <t>Dead/Dying cells</t>
  </si>
  <si>
    <t>Viability Dye: Nucleic acid stain that only penetrates cells with compromised membranes.</t>
  </si>
  <si>
    <t>Hours</t>
  </si>
  <si>
    <t>Days</t>
  </si>
  <si>
    <t>Number of FOVs:</t>
  </si>
  <si>
    <t>Number of z stacks:</t>
  </si>
  <si>
    <t>(Define the number of tissue regions acquired)</t>
  </si>
  <si>
    <t>(Define number of positive and negative levels in z dimension)</t>
  </si>
  <si>
    <t>GFP</t>
  </si>
  <si>
    <t>Information critical to generate xml</t>
  </si>
  <si>
    <t>Additional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</si>
</sst>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color rgb="FF000000"/>
      <name val="Aptos Narrow"/>
      <family val="2"/>
    </font>
    <font>
      <sz val="8"/>
      <color theme="1"/>
      <name val="Aptos Narrow"/>
      <family val="2"/>
    </font>
    <font>
      <sz val="9"/>
      <color theme="1"/>
      <name val="Aptos Narrow"/>
      <family val="2"/>
    </font>
    <font>
      <sz val="8"/>
      <color theme="1"/>
      <name val="Calibri"/>
      <family val="2"/>
    </font>
    <font>
      <sz val="11"/>
      <color rgb="FF000000"/>
      <name val="Aptos Narrow"/>
      <family val="2"/>
    </font>
    <font>
      <sz val="9"/>
      <color rgb="FF000000"/>
      <name val="Aptos Narrow"/>
      <family val="2"/>
    </font>
    <font>
      <sz val="11"/>
      <color rgb="FFBFBFBF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7132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6C6C6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Protection="1">
      <protection locked="0"/>
    </xf>
    <xf numFmtId="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11" fillId="3" borderId="7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2"/>
  <sheetViews>
    <sheetView tabSelected="1" workbookViewId="0">
      <selection activeCell="C5" sqref="C5"/>
    </sheetView>
  </sheetViews>
  <sheetFormatPr defaultColWidth="9" defaultRowHeight="15"/>
  <cols>
    <col min="1" max="1" width="16.140625" bestFit="1" customWidth="1"/>
    <col min="2" max="2" width="16.140625" customWidth="1"/>
    <col min="3" max="3" width="50" bestFit="1" customWidth="1"/>
    <col min="4" max="5" width="13.5703125" bestFit="1" customWidth="1"/>
    <col min="6" max="6" width="34.5703125" bestFit="1" customWidth="1"/>
    <col min="7" max="7" width="44.5703125" bestFit="1" customWidth="1"/>
  </cols>
  <sheetData>
    <row r="1" spans="1:3" ht="18.75" customHeight="1">
      <c r="A1" t="s">
        <v>357</v>
      </c>
      <c r="B1" s="11">
        <v>3</v>
      </c>
      <c r="C1" t="s">
        <v>359</v>
      </c>
    </row>
    <row r="2" spans="1:3" ht="18.75" customHeight="1">
      <c r="A2" t="s">
        <v>358</v>
      </c>
      <c r="B2" s="11">
        <v>4</v>
      </c>
      <c r="C2" t="s">
        <v>360</v>
      </c>
    </row>
    <row r="3" spans="1:3" ht="18.75" customHeight="1"/>
    <row r="4" spans="1:3" ht="18.75" customHeight="1"/>
    <row r="5" spans="1:3" ht="18.75" customHeight="1"/>
    <row r="6" spans="1:3" ht="18.75" customHeight="1"/>
    <row r="7" spans="1:3" ht="18.75" customHeight="1"/>
    <row r="8" spans="1:3" ht="18.75" customHeight="1"/>
    <row r="9" spans="1:3" ht="18.75" customHeight="1"/>
    <row r="10" spans="1:3" ht="18.75" customHeight="1"/>
    <row r="11" spans="1:3" ht="18.75" customHeight="1"/>
    <row r="12" spans="1:3" ht="18.75" customHeight="1"/>
    <row r="13" spans="1:3" ht="18.75" customHeight="1"/>
    <row r="14" spans="1:3" ht="18.75" customHeight="1"/>
    <row r="15" spans="1:3" ht="18.75" customHeight="1"/>
    <row r="16" spans="1:3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0"/>
  <sheetViews>
    <sheetView workbookViewId="0">
      <selection activeCell="B3" sqref="B3"/>
    </sheetView>
  </sheetViews>
  <sheetFormatPr defaultColWidth="9" defaultRowHeight="15"/>
  <cols>
    <col min="1" max="1" width="5.5703125" style="37" bestFit="1" customWidth="1"/>
    <col min="2" max="2" width="12.140625" style="38" bestFit="1" customWidth="1"/>
    <col min="3" max="3" width="5" style="39" bestFit="1" customWidth="1"/>
    <col min="4" max="4" width="8.7109375" style="38" bestFit="1" customWidth="1"/>
    <col min="5" max="5" width="7.85546875" style="40" bestFit="1" customWidth="1"/>
    <col min="6" max="6" width="4.28515625" style="41" bestFit="1" customWidth="1"/>
    <col min="7" max="7" width="7.5703125" style="41" bestFit="1" customWidth="1"/>
    <col min="8" max="8" width="13.5703125" style="42" bestFit="1" customWidth="1"/>
    <col min="9" max="9" width="13.5703125" style="41" bestFit="1" customWidth="1"/>
    <col min="10" max="10" width="11" style="37" bestFit="1" customWidth="1"/>
    <col min="11" max="11" width="16.42578125" style="38" bestFit="1" customWidth="1"/>
    <col min="12" max="12" width="11.5703125" style="38" bestFit="1" customWidth="1"/>
    <col min="13" max="13" width="14.5703125" style="1" bestFit="1" customWidth="1"/>
    <col min="14" max="14" width="40" style="1" bestFit="1" customWidth="1"/>
    <col min="15" max="15" width="65.5703125" style="1" bestFit="1" customWidth="1"/>
  </cols>
  <sheetData>
    <row r="1" spans="1:15">
      <c r="A1" s="55" t="s">
        <v>362</v>
      </c>
      <c r="B1" s="55"/>
      <c r="C1" s="55"/>
      <c r="D1" s="55"/>
      <c r="E1" s="55"/>
      <c r="F1" s="55"/>
      <c r="G1" s="55"/>
      <c r="H1" s="55"/>
      <c r="I1" s="55"/>
      <c r="J1" s="43" t="s">
        <v>363</v>
      </c>
      <c r="K1" s="43"/>
      <c r="L1" s="43"/>
      <c r="M1" s="43"/>
      <c r="N1" s="43"/>
      <c r="O1" s="43"/>
    </row>
    <row r="2" spans="1:15" ht="57">
      <c r="A2" s="12"/>
      <c r="B2" s="13" t="s">
        <v>58</v>
      </c>
      <c r="C2" s="14" t="s">
        <v>59</v>
      </c>
      <c r="D2" s="13" t="s">
        <v>62</v>
      </c>
      <c r="E2" s="15" t="s">
        <v>63</v>
      </c>
      <c r="F2" s="16" t="s">
        <v>64</v>
      </c>
      <c r="G2" s="17" t="s">
        <v>65</v>
      </c>
      <c r="H2" s="18" t="s">
        <v>68</v>
      </c>
      <c r="I2" s="17" t="s">
        <v>69</v>
      </c>
      <c r="J2" s="12" t="s">
        <v>67</v>
      </c>
      <c r="K2" s="13" t="s">
        <v>60</v>
      </c>
      <c r="L2" s="13" t="s">
        <v>61</v>
      </c>
      <c r="M2" s="2" t="s">
        <v>66</v>
      </c>
      <c r="N2" s="2" t="s">
        <v>70</v>
      </c>
      <c r="O2" s="2" t="s">
        <v>71</v>
      </c>
    </row>
    <row r="3" spans="1:15" ht="18.75" customHeight="1">
      <c r="A3" s="47">
        <v>1</v>
      </c>
      <c r="B3" s="13" t="s">
        <v>72</v>
      </c>
      <c r="C3" s="14" t="s">
        <v>361</v>
      </c>
      <c r="D3" s="44" t="s">
        <v>76</v>
      </c>
      <c r="E3" s="15"/>
      <c r="F3" s="50">
        <f>60-G5</f>
        <v>60</v>
      </c>
      <c r="G3" s="17"/>
      <c r="H3" s="47">
        <v>900</v>
      </c>
      <c r="I3" s="19">
        <v>900</v>
      </c>
      <c r="J3" s="12"/>
      <c r="K3" s="13"/>
      <c r="L3" s="13"/>
      <c r="M3" s="2"/>
      <c r="N3" s="2"/>
      <c r="O3" s="2"/>
    </row>
    <row r="4" spans="1:15" ht="18.75" customHeight="1">
      <c r="A4" s="53"/>
      <c r="B4" s="13" t="s">
        <v>72</v>
      </c>
      <c r="C4" s="14" t="s">
        <v>74</v>
      </c>
      <c r="D4" s="45"/>
      <c r="E4" s="15"/>
      <c r="F4" s="51"/>
      <c r="G4" s="17"/>
      <c r="H4" s="48"/>
      <c r="I4" s="19">
        <v>600</v>
      </c>
      <c r="J4" s="12"/>
      <c r="K4" s="13"/>
      <c r="L4" s="13"/>
      <c r="M4" s="2"/>
      <c r="N4" s="2"/>
      <c r="O4" s="2"/>
    </row>
    <row r="5" spans="1:15" ht="18.75" customHeight="1">
      <c r="A5" s="53"/>
      <c r="B5" s="13" t="s">
        <v>72</v>
      </c>
      <c r="C5" s="14" t="s">
        <v>75</v>
      </c>
      <c r="D5" s="45"/>
      <c r="E5" s="15"/>
      <c r="F5" s="51"/>
      <c r="G5" s="16"/>
      <c r="H5" s="48"/>
      <c r="I5" s="12">
        <v>0</v>
      </c>
      <c r="J5" s="12"/>
      <c r="K5" s="13"/>
      <c r="L5" s="13"/>
      <c r="M5" s="3"/>
      <c r="N5" s="4"/>
      <c r="O5" s="4"/>
    </row>
    <row r="6" spans="1:15" ht="18.75" customHeight="1">
      <c r="A6" s="54"/>
      <c r="B6" s="13" t="s">
        <v>72</v>
      </c>
      <c r="C6" s="14" t="s">
        <v>77</v>
      </c>
      <c r="D6" s="46"/>
      <c r="E6" s="15"/>
      <c r="F6" s="52"/>
      <c r="G6" s="16"/>
      <c r="H6" s="49"/>
      <c r="I6" s="12">
        <v>0</v>
      </c>
      <c r="J6" s="12"/>
      <c r="K6" s="13"/>
      <c r="L6" s="13"/>
      <c r="M6" s="3"/>
      <c r="N6" s="4"/>
      <c r="O6" s="4"/>
    </row>
    <row r="7" spans="1:15" ht="18.75" customHeight="1">
      <c r="A7" s="47">
        <v>2</v>
      </c>
      <c r="B7" s="13" t="s">
        <v>11</v>
      </c>
      <c r="C7" s="14" t="s">
        <v>73</v>
      </c>
      <c r="D7" s="44" t="s">
        <v>80</v>
      </c>
      <c r="E7" s="15">
        <v>50</v>
      </c>
      <c r="F7" s="50">
        <f>60-G7-G8-G9-G10</f>
        <v>43.2</v>
      </c>
      <c r="G7" s="16">
        <f>2*(60/E7)</f>
        <v>2.4</v>
      </c>
      <c r="H7" s="47">
        <v>3300</v>
      </c>
      <c r="I7" s="19">
        <v>300</v>
      </c>
      <c r="J7" s="12"/>
      <c r="K7" s="13" t="s">
        <v>78</v>
      </c>
      <c r="L7" s="13" t="s">
        <v>79</v>
      </c>
      <c r="M7" s="3" t="s">
        <v>81</v>
      </c>
      <c r="N7" s="5" t="s">
        <v>82</v>
      </c>
      <c r="O7" s="5" t="s">
        <v>83</v>
      </c>
    </row>
    <row r="8" spans="1:15" ht="18.75" customHeight="1">
      <c r="A8" s="53"/>
      <c r="B8" s="13" t="s">
        <v>84</v>
      </c>
      <c r="C8" s="14" t="s">
        <v>74</v>
      </c>
      <c r="D8" s="56"/>
      <c r="E8" s="15">
        <v>50</v>
      </c>
      <c r="F8" s="51"/>
      <c r="G8" s="16">
        <f>2*(60/E8)</f>
        <v>2.4</v>
      </c>
      <c r="H8" s="48"/>
      <c r="I8" s="19">
        <v>300</v>
      </c>
      <c r="J8" s="12"/>
      <c r="K8" s="13" t="s">
        <v>85</v>
      </c>
      <c r="L8" s="13" t="s">
        <v>86</v>
      </c>
      <c r="M8" s="3" t="s">
        <v>87</v>
      </c>
      <c r="N8" s="5" t="s">
        <v>88</v>
      </c>
      <c r="O8" s="5" t="s">
        <v>89</v>
      </c>
    </row>
    <row r="9" spans="1:15" ht="18.75" customHeight="1">
      <c r="A9" s="53"/>
      <c r="B9" s="13" t="s">
        <v>4</v>
      </c>
      <c r="C9" s="14" t="s">
        <v>75</v>
      </c>
      <c r="D9" s="56"/>
      <c r="E9" s="15">
        <v>10</v>
      </c>
      <c r="F9" s="51"/>
      <c r="G9" s="16">
        <f>2*(60/E9)</f>
        <v>12</v>
      </c>
      <c r="H9" s="48"/>
      <c r="I9" s="12">
        <v>300</v>
      </c>
      <c r="J9" s="12"/>
      <c r="K9" s="13" t="s">
        <v>90</v>
      </c>
      <c r="L9" s="13"/>
      <c r="M9" s="3"/>
      <c r="N9" s="5" t="s">
        <v>91</v>
      </c>
      <c r="O9" s="5" t="s">
        <v>92</v>
      </c>
    </row>
    <row r="10" spans="1:15" ht="18.75" customHeight="1">
      <c r="A10" s="54"/>
      <c r="B10" s="13" t="s">
        <v>93</v>
      </c>
      <c r="C10" s="14" t="s">
        <v>77</v>
      </c>
      <c r="D10" s="57"/>
      <c r="E10" s="15">
        <v>10000</v>
      </c>
      <c r="F10" s="52"/>
      <c r="G10" s="16">
        <v>0</v>
      </c>
      <c r="H10" s="49"/>
      <c r="I10" s="19">
        <v>1</v>
      </c>
      <c r="J10" s="12"/>
      <c r="K10" s="13"/>
      <c r="L10" s="13"/>
      <c r="M10" s="3"/>
      <c r="N10" s="4"/>
      <c r="O10" s="4"/>
    </row>
    <row r="11" spans="1:15" ht="18.75" customHeight="1">
      <c r="A11" s="47">
        <v>3</v>
      </c>
      <c r="B11" s="13" t="s">
        <v>17</v>
      </c>
      <c r="C11" s="14" t="s">
        <v>73</v>
      </c>
      <c r="D11" s="44" t="s">
        <v>96</v>
      </c>
      <c r="E11" s="15">
        <v>50</v>
      </c>
      <c r="F11" s="50">
        <f>60-G11-G12-G13</f>
        <v>54.900000000000006</v>
      </c>
      <c r="G11" s="16">
        <f t="shared" ref="G11:G42" si="0">2*(60/E11)</f>
        <v>2.4</v>
      </c>
      <c r="H11" s="47">
        <v>3300</v>
      </c>
      <c r="I11" s="19">
        <v>300</v>
      </c>
      <c r="J11" s="12"/>
      <c r="K11" s="13" t="s">
        <v>94</v>
      </c>
      <c r="L11" s="13" t="s">
        <v>95</v>
      </c>
      <c r="M11" s="3"/>
      <c r="N11" s="5" t="s">
        <v>97</v>
      </c>
      <c r="O11" s="5" t="s">
        <v>98</v>
      </c>
    </row>
    <row r="12" spans="1:15" ht="18.75" customHeight="1">
      <c r="A12" s="53"/>
      <c r="B12" s="20" t="s">
        <v>6</v>
      </c>
      <c r="C12" s="14" t="s">
        <v>99</v>
      </c>
      <c r="D12" s="56"/>
      <c r="E12" s="15">
        <v>400</v>
      </c>
      <c r="F12" s="51"/>
      <c r="G12" s="16">
        <f t="shared" si="0"/>
        <v>0.3</v>
      </c>
      <c r="H12" s="48"/>
      <c r="I12" s="12">
        <v>600</v>
      </c>
      <c r="J12" s="12"/>
      <c r="K12" s="13" t="s">
        <v>100</v>
      </c>
      <c r="L12" s="13" t="s">
        <v>101</v>
      </c>
      <c r="M12" s="3" t="s">
        <v>87</v>
      </c>
      <c r="N12" s="5" t="s">
        <v>1</v>
      </c>
      <c r="O12" s="5" t="s">
        <v>102</v>
      </c>
    </row>
    <row r="13" spans="1:15" ht="18.75" customHeight="1">
      <c r="A13" s="54"/>
      <c r="B13" s="13" t="s">
        <v>16</v>
      </c>
      <c r="C13" s="14" t="s">
        <v>103</v>
      </c>
      <c r="D13" s="57"/>
      <c r="E13" s="15">
        <v>50</v>
      </c>
      <c r="F13" s="52"/>
      <c r="G13" s="16">
        <f t="shared" si="0"/>
        <v>2.4</v>
      </c>
      <c r="H13" s="49"/>
      <c r="I13" s="19">
        <v>300</v>
      </c>
      <c r="J13" s="12"/>
      <c r="K13" s="13" t="s">
        <v>78</v>
      </c>
      <c r="L13" s="13" t="s">
        <v>104</v>
      </c>
      <c r="M13" s="6"/>
      <c r="N13" s="5" t="s">
        <v>105</v>
      </c>
      <c r="O13" s="5" t="s">
        <v>106</v>
      </c>
    </row>
    <row r="14" spans="1:15" ht="18.75" customHeight="1">
      <c r="A14" s="47">
        <v>4</v>
      </c>
      <c r="B14" s="13" t="s">
        <v>13</v>
      </c>
      <c r="C14" s="14" t="s">
        <v>73</v>
      </c>
      <c r="D14" s="44" t="s">
        <v>109</v>
      </c>
      <c r="E14" s="15">
        <v>100</v>
      </c>
      <c r="F14" s="50">
        <f>60-G14-G15</f>
        <v>56.4</v>
      </c>
      <c r="G14" s="16">
        <f t="shared" si="0"/>
        <v>1.2</v>
      </c>
      <c r="H14" s="47">
        <v>3300</v>
      </c>
      <c r="I14" s="12">
        <v>600</v>
      </c>
      <c r="J14" s="12"/>
      <c r="K14" s="13" t="s">
        <v>107</v>
      </c>
      <c r="L14" s="13" t="s">
        <v>108</v>
      </c>
      <c r="M14" s="3"/>
      <c r="N14" s="5" t="s">
        <v>110</v>
      </c>
      <c r="O14" s="5" t="s">
        <v>111</v>
      </c>
    </row>
    <row r="15" spans="1:15" ht="18.75" customHeight="1">
      <c r="A15" s="54"/>
      <c r="B15" s="20" t="s">
        <v>50</v>
      </c>
      <c r="C15" s="14" t="s">
        <v>99</v>
      </c>
      <c r="D15" s="46"/>
      <c r="E15" s="15">
        <v>50</v>
      </c>
      <c r="F15" s="49"/>
      <c r="G15" s="16">
        <f t="shared" si="0"/>
        <v>2.4</v>
      </c>
      <c r="H15" s="49"/>
      <c r="I15" s="12">
        <v>600</v>
      </c>
      <c r="J15" s="12"/>
      <c r="K15" s="13" t="s">
        <v>112</v>
      </c>
      <c r="L15" s="13"/>
      <c r="M15" s="3" t="s">
        <v>113</v>
      </c>
      <c r="N15" s="5" t="s">
        <v>114</v>
      </c>
      <c r="O15" s="5" t="s">
        <v>115</v>
      </c>
    </row>
    <row r="16" spans="1:15" ht="18.75" customHeight="1">
      <c r="A16" s="47">
        <v>5</v>
      </c>
      <c r="B16" s="13" t="s">
        <v>54</v>
      </c>
      <c r="C16" s="14" t="s">
        <v>73</v>
      </c>
      <c r="D16" s="44" t="s">
        <v>117</v>
      </c>
      <c r="E16" s="15">
        <v>100</v>
      </c>
      <c r="F16" s="50">
        <f>60-G16-G17</f>
        <v>58.199999999999996</v>
      </c>
      <c r="G16" s="16">
        <f t="shared" si="0"/>
        <v>1.2</v>
      </c>
      <c r="H16" s="47">
        <v>3300</v>
      </c>
      <c r="I16" s="19">
        <v>300</v>
      </c>
      <c r="J16" s="12"/>
      <c r="K16" s="13" t="s">
        <v>107</v>
      </c>
      <c r="L16" s="13" t="s">
        <v>116</v>
      </c>
      <c r="M16" s="3"/>
      <c r="N16" s="5" t="s">
        <v>118</v>
      </c>
      <c r="O16" s="5" t="s">
        <v>119</v>
      </c>
    </row>
    <row r="17" spans="1:15" ht="18.75" customHeight="1">
      <c r="A17" s="54"/>
      <c r="B17" s="20" t="s">
        <v>40</v>
      </c>
      <c r="C17" s="14" t="s">
        <v>74</v>
      </c>
      <c r="D17" s="46"/>
      <c r="E17" s="15">
        <v>200</v>
      </c>
      <c r="F17" s="49"/>
      <c r="G17" s="16">
        <f t="shared" si="0"/>
        <v>0.6</v>
      </c>
      <c r="H17" s="49"/>
      <c r="I17" s="12">
        <v>600</v>
      </c>
      <c r="J17" s="12"/>
      <c r="K17" s="13" t="s">
        <v>112</v>
      </c>
      <c r="L17" s="13"/>
      <c r="M17" s="3"/>
      <c r="N17" s="5" t="s">
        <v>120</v>
      </c>
      <c r="O17" s="5" t="s">
        <v>121</v>
      </c>
    </row>
    <row r="18" spans="1:15" ht="18.75" customHeight="1">
      <c r="A18" s="47">
        <v>6</v>
      </c>
      <c r="B18" s="13" t="s">
        <v>5</v>
      </c>
      <c r="C18" s="14" t="s">
        <v>73</v>
      </c>
      <c r="D18" s="44" t="s">
        <v>123</v>
      </c>
      <c r="E18" s="15">
        <v>200</v>
      </c>
      <c r="F18" s="50">
        <f>60-G18-G19</f>
        <v>58.199999999999996</v>
      </c>
      <c r="G18" s="16">
        <f t="shared" si="0"/>
        <v>0.6</v>
      </c>
      <c r="H18" s="47">
        <v>3300</v>
      </c>
      <c r="I18" s="19">
        <v>600</v>
      </c>
      <c r="J18" s="12"/>
      <c r="K18" s="13" t="s">
        <v>94</v>
      </c>
      <c r="L18" s="13" t="s">
        <v>122</v>
      </c>
      <c r="M18" s="3"/>
      <c r="N18" s="5" t="s">
        <v>124</v>
      </c>
      <c r="O18" s="5" t="s">
        <v>125</v>
      </c>
    </row>
    <row r="19" spans="1:15" ht="18.75" customHeight="1">
      <c r="A19" s="54"/>
      <c r="B19" s="20" t="s">
        <v>49</v>
      </c>
      <c r="C19" s="14" t="s">
        <v>74</v>
      </c>
      <c r="D19" s="46"/>
      <c r="E19" s="15">
        <v>100</v>
      </c>
      <c r="F19" s="49"/>
      <c r="G19" s="16">
        <f t="shared" si="0"/>
        <v>1.2</v>
      </c>
      <c r="H19" s="49"/>
      <c r="I19" s="12">
        <v>900</v>
      </c>
      <c r="J19" s="12"/>
      <c r="K19" s="13" t="s">
        <v>112</v>
      </c>
      <c r="L19" s="13" t="s">
        <v>126</v>
      </c>
      <c r="M19" s="3"/>
      <c r="N19" s="5" t="s">
        <v>127</v>
      </c>
      <c r="O19" s="5" t="s">
        <v>128</v>
      </c>
    </row>
    <row r="20" spans="1:15" ht="18.75" customHeight="1">
      <c r="A20" s="12">
        <v>7</v>
      </c>
      <c r="B20" s="13" t="s">
        <v>15</v>
      </c>
      <c r="C20" s="14" t="s">
        <v>73</v>
      </c>
      <c r="D20" s="13" t="s">
        <v>131</v>
      </c>
      <c r="E20" s="15">
        <v>50</v>
      </c>
      <c r="F20" s="16">
        <f t="shared" ref="F20:F65" si="1">60-G20</f>
        <v>57.6</v>
      </c>
      <c r="G20" s="16">
        <f t="shared" si="0"/>
        <v>2.4</v>
      </c>
      <c r="H20" s="12">
        <v>3300</v>
      </c>
      <c r="I20" s="19">
        <v>300</v>
      </c>
      <c r="J20" s="12"/>
      <c r="K20" s="13" t="s">
        <v>129</v>
      </c>
      <c r="L20" s="13" t="s">
        <v>130</v>
      </c>
      <c r="M20" s="3"/>
      <c r="N20" s="5" t="s">
        <v>132</v>
      </c>
      <c r="O20" s="5" t="s">
        <v>133</v>
      </c>
    </row>
    <row r="21" spans="1:15" ht="18.75" customHeight="1">
      <c r="A21" s="12">
        <v>8</v>
      </c>
      <c r="B21" s="20" t="s">
        <v>29</v>
      </c>
      <c r="C21" s="14" t="s">
        <v>73</v>
      </c>
      <c r="D21" s="13" t="s">
        <v>135</v>
      </c>
      <c r="E21" s="15">
        <v>50</v>
      </c>
      <c r="F21" s="16">
        <f t="shared" si="1"/>
        <v>57.6</v>
      </c>
      <c r="G21" s="16">
        <f t="shared" si="0"/>
        <v>2.4</v>
      </c>
      <c r="H21" s="12">
        <v>900</v>
      </c>
      <c r="I21" s="12">
        <v>300</v>
      </c>
      <c r="J21" s="12"/>
      <c r="K21" s="13" t="s">
        <v>78</v>
      </c>
      <c r="L21" s="13" t="s">
        <v>134</v>
      </c>
      <c r="M21" s="3" t="s">
        <v>136</v>
      </c>
      <c r="N21" s="5" t="s">
        <v>137</v>
      </c>
      <c r="O21" s="5" t="s">
        <v>138</v>
      </c>
    </row>
    <row r="22" spans="1:15" ht="18.75" customHeight="1">
      <c r="A22" s="12">
        <v>9</v>
      </c>
      <c r="B22" s="20" t="s">
        <v>41</v>
      </c>
      <c r="C22" s="14" t="s">
        <v>73</v>
      </c>
      <c r="D22" s="13" t="s">
        <v>139</v>
      </c>
      <c r="E22" s="15">
        <v>10</v>
      </c>
      <c r="F22" s="16">
        <f t="shared" si="1"/>
        <v>48</v>
      </c>
      <c r="G22" s="16">
        <f t="shared" si="0"/>
        <v>12</v>
      </c>
      <c r="H22" s="12">
        <v>900</v>
      </c>
      <c r="I22" s="12">
        <v>600</v>
      </c>
      <c r="J22" s="12"/>
      <c r="K22" s="13" t="s">
        <v>90</v>
      </c>
      <c r="L22" s="13"/>
      <c r="M22" s="3" t="s">
        <v>140</v>
      </c>
      <c r="N22" s="5" t="s">
        <v>141</v>
      </c>
      <c r="O22" s="5" t="s">
        <v>142</v>
      </c>
    </row>
    <row r="23" spans="1:15" ht="18.75" customHeight="1">
      <c r="A23" s="12">
        <v>10</v>
      </c>
      <c r="B23" s="20" t="s">
        <v>20</v>
      </c>
      <c r="C23" s="14" t="s">
        <v>73</v>
      </c>
      <c r="D23" s="13" t="s">
        <v>144</v>
      </c>
      <c r="E23" s="15">
        <v>50</v>
      </c>
      <c r="F23" s="16">
        <f t="shared" si="1"/>
        <v>57.6</v>
      </c>
      <c r="G23" s="16">
        <f t="shared" si="0"/>
        <v>2.4</v>
      </c>
      <c r="H23" s="12">
        <v>3000</v>
      </c>
      <c r="I23" s="12">
        <v>300</v>
      </c>
      <c r="J23" s="12"/>
      <c r="K23" s="13" t="s">
        <v>78</v>
      </c>
      <c r="L23" s="13" t="s">
        <v>143</v>
      </c>
      <c r="M23" s="3"/>
      <c r="N23" s="5" t="s">
        <v>145</v>
      </c>
      <c r="O23" s="5" t="s">
        <v>146</v>
      </c>
    </row>
    <row r="24" spans="1:15" ht="18.75" customHeight="1">
      <c r="A24" s="12">
        <v>11</v>
      </c>
      <c r="B24" s="20" t="s">
        <v>22</v>
      </c>
      <c r="C24" s="14" t="s">
        <v>73</v>
      </c>
      <c r="D24" s="13" t="s">
        <v>149</v>
      </c>
      <c r="E24" s="15">
        <v>50</v>
      </c>
      <c r="F24" s="16">
        <f t="shared" si="1"/>
        <v>57.6</v>
      </c>
      <c r="G24" s="16">
        <f t="shared" si="0"/>
        <v>2.4</v>
      </c>
      <c r="H24" s="12">
        <v>3300</v>
      </c>
      <c r="I24" s="12">
        <v>300</v>
      </c>
      <c r="J24" s="12"/>
      <c r="K24" s="13" t="s">
        <v>147</v>
      </c>
      <c r="L24" s="13" t="s">
        <v>148</v>
      </c>
      <c r="M24" s="3"/>
      <c r="N24" s="5" t="s">
        <v>150</v>
      </c>
      <c r="O24" s="5" t="s">
        <v>151</v>
      </c>
    </row>
    <row r="25" spans="1:15" ht="18.75" customHeight="1">
      <c r="A25" s="12">
        <v>12</v>
      </c>
      <c r="B25" s="20" t="s">
        <v>31</v>
      </c>
      <c r="C25" s="14" t="s">
        <v>73</v>
      </c>
      <c r="D25" s="13" t="s">
        <v>154</v>
      </c>
      <c r="E25" s="15">
        <v>200</v>
      </c>
      <c r="F25" s="16">
        <f t="shared" si="1"/>
        <v>59.4</v>
      </c>
      <c r="G25" s="16">
        <f t="shared" si="0"/>
        <v>0.6</v>
      </c>
      <c r="H25" s="12">
        <v>3300</v>
      </c>
      <c r="I25" s="12">
        <v>300</v>
      </c>
      <c r="J25" s="12"/>
      <c r="K25" s="13" t="s">
        <v>152</v>
      </c>
      <c r="L25" s="13" t="s">
        <v>153</v>
      </c>
      <c r="M25" s="3" t="s">
        <v>155</v>
      </c>
      <c r="N25" s="5" t="s">
        <v>156</v>
      </c>
      <c r="O25" s="5" t="s">
        <v>157</v>
      </c>
    </row>
    <row r="26" spans="1:15" ht="18.75" customHeight="1">
      <c r="A26" s="12">
        <v>13</v>
      </c>
      <c r="B26" s="20" t="s">
        <v>57</v>
      </c>
      <c r="C26" s="14" t="s">
        <v>73</v>
      </c>
      <c r="D26" s="13" t="s">
        <v>159</v>
      </c>
      <c r="E26" s="15">
        <v>50</v>
      </c>
      <c r="F26" s="16">
        <f t="shared" si="1"/>
        <v>57.6</v>
      </c>
      <c r="G26" s="16">
        <f t="shared" si="0"/>
        <v>2.4</v>
      </c>
      <c r="H26" s="12">
        <v>3300</v>
      </c>
      <c r="I26" s="12">
        <v>300</v>
      </c>
      <c r="J26" s="12"/>
      <c r="K26" s="13" t="s">
        <v>78</v>
      </c>
      <c r="L26" s="13" t="s">
        <v>158</v>
      </c>
      <c r="M26" s="3"/>
      <c r="N26" s="5" t="s">
        <v>160</v>
      </c>
      <c r="O26" s="5" t="s">
        <v>161</v>
      </c>
    </row>
    <row r="27" spans="1:15" ht="18.75" customHeight="1">
      <c r="A27" s="12">
        <v>14</v>
      </c>
      <c r="B27" s="13" t="s">
        <v>27</v>
      </c>
      <c r="C27" s="14" t="s">
        <v>73</v>
      </c>
      <c r="D27" s="13" t="s">
        <v>163</v>
      </c>
      <c r="E27" s="15">
        <v>50</v>
      </c>
      <c r="F27" s="16">
        <f t="shared" si="1"/>
        <v>57.6</v>
      </c>
      <c r="G27" s="16">
        <f t="shared" si="0"/>
        <v>2.4</v>
      </c>
      <c r="H27" s="12">
        <v>3300</v>
      </c>
      <c r="I27" s="19">
        <v>300</v>
      </c>
      <c r="J27" s="12"/>
      <c r="K27" s="13" t="s">
        <v>90</v>
      </c>
      <c r="L27" s="13" t="s">
        <v>162</v>
      </c>
      <c r="M27" s="3"/>
      <c r="N27" s="5" t="s">
        <v>164</v>
      </c>
      <c r="O27" s="5" t="s">
        <v>165</v>
      </c>
    </row>
    <row r="28" spans="1:15" ht="18.75" customHeight="1">
      <c r="A28" s="12">
        <v>15</v>
      </c>
      <c r="B28" s="13" t="s">
        <v>9</v>
      </c>
      <c r="C28" s="14" t="s">
        <v>73</v>
      </c>
      <c r="D28" s="13" t="s">
        <v>167</v>
      </c>
      <c r="E28" s="15">
        <v>50</v>
      </c>
      <c r="F28" s="16">
        <f t="shared" si="1"/>
        <v>57.6</v>
      </c>
      <c r="G28" s="16">
        <f t="shared" si="0"/>
        <v>2.4</v>
      </c>
      <c r="H28" s="12">
        <v>3300</v>
      </c>
      <c r="I28" s="19">
        <v>300</v>
      </c>
      <c r="J28" s="12"/>
      <c r="K28" s="13" t="s">
        <v>107</v>
      </c>
      <c r="L28" s="13" t="s">
        <v>166</v>
      </c>
      <c r="M28" s="3"/>
      <c r="N28" s="5" t="s">
        <v>168</v>
      </c>
      <c r="O28" s="5" t="s">
        <v>169</v>
      </c>
    </row>
    <row r="29" spans="1:15" ht="18.75" customHeight="1">
      <c r="A29" s="12">
        <v>16</v>
      </c>
      <c r="B29" s="13" t="s">
        <v>53</v>
      </c>
      <c r="C29" s="14" t="s">
        <v>73</v>
      </c>
      <c r="D29" s="13" t="s">
        <v>171</v>
      </c>
      <c r="E29" s="15">
        <v>100</v>
      </c>
      <c r="F29" s="16">
        <f t="shared" si="1"/>
        <v>58.8</v>
      </c>
      <c r="G29" s="16">
        <f t="shared" si="0"/>
        <v>1.2</v>
      </c>
      <c r="H29" s="12">
        <v>2700</v>
      </c>
      <c r="I29" s="19">
        <v>600</v>
      </c>
      <c r="J29" s="12"/>
      <c r="K29" s="13" t="s">
        <v>78</v>
      </c>
      <c r="L29" s="13" t="s">
        <v>170</v>
      </c>
      <c r="M29" s="3" t="s">
        <v>81</v>
      </c>
      <c r="N29" s="5" t="s">
        <v>172</v>
      </c>
      <c r="O29" s="5" t="s">
        <v>173</v>
      </c>
    </row>
    <row r="30" spans="1:15" ht="18.75" customHeight="1">
      <c r="A30" s="12">
        <v>17</v>
      </c>
      <c r="B30" s="13" t="s">
        <v>174</v>
      </c>
      <c r="C30" s="14" t="s">
        <v>73</v>
      </c>
      <c r="D30" s="13" t="s">
        <v>176</v>
      </c>
      <c r="E30" s="15">
        <v>50</v>
      </c>
      <c r="F30" s="16">
        <f t="shared" si="1"/>
        <v>57.6</v>
      </c>
      <c r="G30" s="16">
        <f t="shared" si="0"/>
        <v>2.4</v>
      </c>
      <c r="H30" s="12">
        <v>3300</v>
      </c>
      <c r="I30" s="19">
        <v>300</v>
      </c>
      <c r="J30" s="12"/>
      <c r="K30" s="13" t="s">
        <v>90</v>
      </c>
      <c r="L30" s="13" t="s">
        <v>175</v>
      </c>
      <c r="M30" s="3"/>
      <c r="N30" s="5" t="s">
        <v>177</v>
      </c>
      <c r="O30" s="5" t="s">
        <v>178</v>
      </c>
    </row>
    <row r="31" spans="1:15" ht="18.75" customHeight="1">
      <c r="A31" s="12">
        <v>18</v>
      </c>
      <c r="B31" s="21" t="s">
        <v>179</v>
      </c>
      <c r="C31" s="22" t="s">
        <v>73</v>
      </c>
      <c r="D31" s="13" t="s">
        <v>181</v>
      </c>
      <c r="E31" s="23">
        <v>50</v>
      </c>
      <c r="F31" s="24">
        <f t="shared" si="1"/>
        <v>57.6</v>
      </c>
      <c r="G31" s="24">
        <f t="shared" si="0"/>
        <v>2.4</v>
      </c>
      <c r="H31" s="25">
        <v>1800</v>
      </c>
      <c r="I31" s="26">
        <v>600</v>
      </c>
      <c r="J31" s="25"/>
      <c r="K31" s="21" t="s">
        <v>90</v>
      </c>
      <c r="L31" s="21" t="s">
        <v>180</v>
      </c>
      <c r="M31" s="7"/>
      <c r="N31" s="8" t="s">
        <v>182</v>
      </c>
      <c r="O31" s="8" t="s">
        <v>183</v>
      </c>
    </row>
    <row r="32" spans="1:15" ht="18.75" customHeight="1">
      <c r="A32" s="12">
        <v>19</v>
      </c>
      <c r="B32" s="13" t="s">
        <v>18</v>
      </c>
      <c r="C32" s="14" t="s">
        <v>73</v>
      </c>
      <c r="D32" s="13" t="s">
        <v>185</v>
      </c>
      <c r="E32" s="15">
        <v>50</v>
      </c>
      <c r="F32" s="16">
        <f t="shared" si="1"/>
        <v>57.6</v>
      </c>
      <c r="G32" s="16">
        <f t="shared" si="0"/>
        <v>2.4</v>
      </c>
      <c r="H32" s="12">
        <v>3300</v>
      </c>
      <c r="I32" s="19">
        <v>300</v>
      </c>
      <c r="J32" s="12"/>
      <c r="K32" s="13" t="s">
        <v>107</v>
      </c>
      <c r="L32" s="13" t="s">
        <v>184</v>
      </c>
      <c r="M32" s="3"/>
      <c r="N32" s="5" t="s">
        <v>186</v>
      </c>
      <c r="O32" s="5" t="s">
        <v>187</v>
      </c>
    </row>
    <row r="33" spans="1:15" ht="18.75" customHeight="1">
      <c r="A33" s="12">
        <v>20</v>
      </c>
      <c r="B33" s="13" t="s">
        <v>46</v>
      </c>
      <c r="C33" s="14" t="s">
        <v>73</v>
      </c>
      <c r="D33" s="13" t="s">
        <v>189</v>
      </c>
      <c r="E33" s="15">
        <v>50</v>
      </c>
      <c r="F33" s="16">
        <f t="shared" si="1"/>
        <v>57.6</v>
      </c>
      <c r="G33" s="16">
        <f t="shared" si="0"/>
        <v>2.4</v>
      </c>
      <c r="H33" s="12">
        <v>2700</v>
      </c>
      <c r="I33" s="19">
        <v>600</v>
      </c>
      <c r="J33" s="12"/>
      <c r="K33" s="13" t="s">
        <v>107</v>
      </c>
      <c r="L33" s="13" t="s">
        <v>188</v>
      </c>
      <c r="M33" s="3"/>
      <c r="N33" s="5" t="s">
        <v>190</v>
      </c>
      <c r="O33" s="5" t="s">
        <v>191</v>
      </c>
    </row>
    <row r="34" spans="1:15" ht="18.75" customHeight="1">
      <c r="A34" s="12">
        <v>21</v>
      </c>
      <c r="B34" s="13" t="s">
        <v>37</v>
      </c>
      <c r="C34" s="14" t="s">
        <v>73</v>
      </c>
      <c r="D34" s="13" t="s">
        <v>193</v>
      </c>
      <c r="E34" s="15">
        <v>100</v>
      </c>
      <c r="F34" s="16">
        <f t="shared" si="1"/>
        <v>58.8</v>
      </c>
      <c r="G34" s="16">
        <f t="shared" si="0"/>
        <v>1.2</v>
      </c>
      <c r="H34" s="19">
        <v>2700</v>
      </c>
      <c r="I34" s="19">
        <v>600</v>
      </c>
      <c r="J34" s="12"/>
      <c r="K34" s="13" t="s">
        <v>94</v>
      </c>
      <c r="L34" s="13" t="s">
        <v>192</v>
      </c>
      <c r="M34" s="6"/>
      <c r="N34" s="5" t="s">
        <v>194</v>
      </c>
      <c r="O34" s="5" t="s">
        <v>195</v>
      </c>
    </row>
    <row r="35" spans="1:15" ht="18.75" customHeight="1">
      <c r="A35" s="12">
        <v>22</v>
      </c>
      <c r="B35" s="20" t="s">
        <v>55</v>
      </c>
      <c r="C35" s="14" t="s">
        <v>73</v>
      </c>
      <c r="D35" s="13" t="s">
        <v>197</v>
      </c>
      <c r="E35" s="15">
        <v>50</v>
      </c>
      <c r="F35" s="16">
        <f t="shared" si="1"/>
        <v>57.6</v>
      </c>
      <c r="G35" s="16">
        <f t="shared" si="0"/>
        <v>2.4</v>
      </c>
      <c r="H35" s="12">
        <v>3300</v>
      </c>
      <c r="I35" s="12">
        <v>300</v>
      </c>
      <c r="J35" s="12"/>
      <c r="K35" s="13" t="s">
        <v>90</v>
      </c>
      <c r="L35" s="13" t="s">
        <v>196</v>
      </c>
      <c r="M35" s="3"/>
      <c r="N35" s="5" t="s">
        <v>198</v>
      </c>
      <c r="O35" s="5" t="s">
        <v>199</v>
      </c>
    </row>
    <row r="36" spans="1:15" ht="18.75" customHeight="1">
      <c r="A36" s="12">
        <v>23</v>
      </c>
      <c r="B36" s="13" t="s">
        <v>200</v>
      </c>
      <c r="C36" s="14" t="s">
        <v>73</v>
      </c>
      <c r="D36" s="13" t="s">
        <v>202</v>
      </c>
      <c r="E36" s="15">
        <v>200</v>
      </c>
      <c r="F36" s="16">
        <f t="shared" si="1"/>
        <v>59.4</v>
      </c>
      <c r="G36" s="16">
        <f t="shared" si="0"/>
        <v>0.6</v>
      </c>
      <c r="H36" s="19">
        <v>3300</v>
      </c>
      <c r="I36" s="19">
        <v>600</v>
      </c>
      <c r="J36" s="12"/>
      <c r="K36" s="13" t="s">
        <v>107</v>
      </c>
      <c r="L36" s="13" t="s">
        <v>201</v>
      </c>
      <c r="M36" s="6"/>
      <c r="N36" s="5" t="s">
        <v>203</v>
      </c>
      <c r="O36" s="5" t="s">
        <v>204</v>
      </c>
    </row>
    <row r="37" spans="1:15" ht="18.75" customHeight="1">
      <c r="A37" s="12">
        <v>24</v>
      </c>
      <c r="B37" s="13" t="s">
        <v>2</v>
      </c>
      <c r="C37" s="14" t="s">
        <v>73</v>
      </c>
      <c r="D37" s="13" t="s">
        <v>206</v>
      </c>
      <c r="E37" s="15">
        <v>50</v>
      </c>
      <c r="F37" s="16">
        <f t="shared" si="1"/>
        <v>57.6</v>
      </c>
      <c r="G37" s="16">
        <f t="shared" si="0"/>
        <v>2.4</v>
      </c>
      <c r="H37" s="19">
        <v>2700</v>
      </c>
      <c r="I37" s="19">
        <v>300</v>
      </c>
      <c r="J37" s="12"/>
      <c r="K37" s="13" t="s">
        <v>90</v>
      </c>
      <c r="L37" s="13" t="s">
        <v>205</v>
      </c>
      <c r="M37" s="6" t="s">
        <v>207</v>
      </c>
      <c r="N37" s="5" t="s">
        <v>208</v>
      </c>
      <c r="O37" s="5" t="s">
        <v>209</v>
      </c>
    </row>
    <row r="38" spans="1:15" ht="18.75" customHeight="1">
      <c r="A38" s="12">
        <v>25</v>
      </c>
      <c r="B38" s="13" t="s">
        <v>51</v>
      </c>
      <c r="C38" s="14" t="s">
        <v>73</v>
      </c>
      <c r="D38" s="13" t="s">
        <v>211</v>
      </c>
      <c r="E38" s="15">
        <v>200</v>
      </c>
      <c r="F38" s="16">
        <f t="shared" si="1"/>
        <v>59.4</v>
      </c>
      <c r="G38" s="16">
        <f t="shared" si="0"/>
        <v>0.6</v>
      </c>
      <c r="H38" s="19">
        <v>2700</v>
      </c>
      <c r="I38" s="19">
        <v>600</v>
      </c>
      <c r="J38" s="12"/>
      <c r="K38" s="13" t="s">
        <v>78</v>
      </c>
      <c r="L38" s="13" t="s">
        <v>210</v>
      </c>
      <c r="M38" s="6"/>
      <c r="N38" s="5" t="s">
        <v>212</v>
      </c>
      <c r="O38" s="5" t="s">
        <v>213</v>
      </c>
    </row>
    <row r="39" spans="1:15" ht="18.75" customHeight="1">
      <c r="A39" s="12">
        <v>26</v>
      </c>
      <c r="B39" s="13" t="s">
        <v>12</v>
      </c>
      <c r="C39" s="14" t="s">
        <v>73</v>
      </c>
      <c r="D39" s="13" t="s">
        <v>215</v>
      </c>
      <c r="E39" s="15">
        <v>10</v>
      </c>
      <c r="F39" s="16">
        <f t="shared" si="1"/>
        <v>48</v>
      </c>
      <c r="G39" s="16">
        <f t="shared" si="0"/>
        <v>12</v>
      </c>
      <c r="H39" s="19">
        <v>3300</v>
      </c>
      <c r="I39" s="19">
        <v>300</v>
      </c>
      <c r="J39" s="12"/>
      <c r="K39" s="13" t="s">
        <v>90</v>
      </c>
      <c r="L39" s="13" t="s">
        <v>214</v>
      </c>
      <c r="M39" s="6"/>
      <c r="N39" s="5" t="s">
        <v>216</v>
      </c>
      <c r="O39" s="5" t="s">
        <v>217</v>
      </c>
    </row>
    <row r="40" spans="1:15" ht="18.75" customHeight="1">
      <c r="A40" s="12">
        <v>27</v>
      </c>
      <c r="B40" s="20" t="s">
        <v>36</v>
      </c>
      <c r="C40" s="14" t="s">
        <v>73</v>
      </c>
      <c r="D40" s="13" t="s">
        <v>219</v>
      </c>
      <c r="E40" s="15">
        <v>100</v>
      </c>
      <c r="F40" s="16">
        <f t="shared" si="1"/>
        <v>58.8</v>
      </c>
      <c r="G40" s="16">
        <f t="shared" si="0"/>
        <v>1.2</v>
      </c>
      <c r="H40" s="12">
        <v>3000</v>
      </c>
      <c r="I40" s="12">
        <v>300</v>
      </c>
      <c r="J40" s="12"/>
      <c r="K40" s="13" t="s">
        <v>78</v>
      </c>
      <c r="L40" s="13" t="s">
        <v>218</v>
      </c>
      <c r="M40" s="3" t="s">
        <v>81</v>
      </c>
      <c r="N40" s="5" t="s">
        <v>220</v>
      </c>
      <c r="O40" s="5" t="s">
        <v>221</v>
      </c>
    </row>
    <row r="41" spans="1:15" ht="18.75" customHeight="1">
      <c r="A41" s="12">
        <v>28</v>
      </c>
      <c r="B41" s="13" t="s">
        <v>19</v>
      </c>
      <c r="C41" s="14" t="s">
        <v>73</v>
      </c>
      <c r="D41" s="13" t="s">
        <v>223</v>
      </c>
      <c r="E41" s="15">
        <v>50</v>
      </c>
      <c r="F41" s="16">
        <f t="shared" si="1"/>
        <v>57.6</v>
      </c>
      <c r="G41" s="16">
        <f t="shared" si="0"/>
        <v>2.4</v>
      </c>
      <c r="H41" s="19">
        <v>3300</v>
      </c>
      <c r="I41" s="19">
        <v>300</v>
      </c>
      <c r="J41" s="12"/>
      <c r="K41" s="13" t="s">
        <v>90</v>
      </c>
      <c r="L41" s="13" t="s">
        <v>222</v>
      </c>
      <c r="M41" s="6" t="s">
        <v>207</v>
      </c>
      <c r="N41" s="5" t="s">
        <v>224</v>
      </c>
      <c r="O41" s="5" t="s">
        <v>225</v>
      </c>
    </row>
    <row r="42" spans="1:15" ht="18.75" customHeight="1">
      <c r="A42" s="12">
        <v>29</v>
      </c>
      <c r="B42" s="13" t="s">
        <v>38</v>
      </c>
      <c r="C42" s="14" t="s">
        <v>73</v>
      </c>
      <c r="D42" s="13" t="s">
        <v>227</v>
      </c>
      <c r="E42" s="15">
        <v>50</v>
      </c>
      <c r="F42" s="16">
        <f t="shared" si="1"/>
        <v>57.6</v>
      </c>
      <c r="G42" s="16">
        <f t="shared" si="0"/>
        <v>2.4</v>
      </c>
      <c r="H42" s="19">
        <v>1800</v>
      </c>
      <c r="I42" s="19">
        <v>600</v>
      </c>
      <c r="J42" s="12"/>
      <c r="K42" s="13" t="s">
        <v>90</v>
      </c>
      <c r="L42" s="13" t="s">
        <v>226</v>
      </c>
      <c r="M42" s="6"/>
      <c r="N42" s="5" t="s">
        <v>228</v>
      </c>
      <c r="O42" s="5" t="s">
        <v>229</v>
      </c>
    </row>
    <row r="43" spans="1:15" ht="18.75" customHeight="1">
      <c r="A43" s="12">
        <v>30</v>
      </c>
      <c r="B43" s="13" t="s">
        <v>230</v>
      </c>
      <c r="C43" s="14" t="s">
        <v>73</v>
      </c>
      <c r="D43" s="13" t="s">
        <v>233</v>
      </c>
      <c r="E43" s="15">
        <v>25</v>
      </c>
      <c r="F43" s="16">
        <f t="shared" si="1"/>
        <v>55.2</v>
      </c>
      <c r="G43" s="16">
        <f t="shared" ref="G43:G74" si="2">2*(60/E43)</f>
        <v>4.8</v>
      </c>
      <c r="H43" s="12">
        <v>3300</v>
      </c>
      <c r="I43" s="12">
        <v>300</v>
      </c>
      <c r="J43" s="12"/>
      <c r="K43" s="13" t="s">
        <v>231</v>
      </c>
      <c r="L43" s="13" t="s">
        <v>232</v>
      </c>
      <c r="M43" s="3"/>
      <c r="N43" s="5"/>
      <c r="O43" s="5"/>
    </row>
    <row r="44" spans="1:15" ht="18.75" customHeight="1">
      <c r="A44" s="12">
        <v>31</v>
      </c>
      <c r="B44" s="13" t="s">
        <v>234</v>
      </c>
      <c r="C44" s="14" t="s">
        <v>73</v>
      </c>
      <c r="D44" s="13" t="s">
        <v>237</v>
      </c>
      <c r="E44" s="15">
        <v>50</v>
      </c>
      <c r="F44" s="16">
        <f t="shared" si="1"/>
        <v>57.6</v>
      </c>
      <c r="G44" s="16">
        <f t="shared" si="2"/>
        <v>2.4</v>
      </c>
      <c r="H44" s="12">
        <v>3000</v>
      </c>
      <c r="I44" s="12">
        <v>300</v>
      </c>
      <c r="J44" s="12"/>
      <c r="K44" s="13" t="s">
        <v>235</v>
      </c>
      <c r="L44" s="13" t="s">
        <v>236</v>
      </c>
      <c r="M44" s="3"/>
      <c r="N44" s="5" t="s">
        <v>238</v>
      </c>
      <c r="O44" s="5" t="s">
        <v>239</v>
      </c>
    </row>
    <row r="45" spans="1:15" ht="18.75" customHeight="1">
      <c r="A45" s="12">
        <v>32</v>
      </c>
      <c r="B45" s="13" t="s">
        <v>45</v>
      </c>
      <c r="C45" s="14" t="s">
        <v>73</v>
      </c>
      <c r="D45" s="13" t="s">
        <v>241</v>
      </c>
      <c r="E45" s="15">
        <v>200</v>
      </c>
      <c r="F45" s="16">
        <f t="shared" si="1"/>
        <v>59.4</v>
      </c>
      <c r="G45" s="16">
        <f t="shared" si="2"/>
        <v>0.6</v>
      </c>
      <c r="H45" s="19">
        <v>2700</v>
      </c>
      <c r="I45" s="19">
        <v>600</v>
      </c>
      <c r="J45" s="12"/>
      <c r="K45" s="13" t="s">
        <v>107</v>
      </c>
      <c r="L45" s="13" t="s">
        <v>240</v>
      </c>
      <c r="M45" s="6"/>
      <c r="N45" s="5" t="s">
        <v>242</v>
      </c>
      <c r="O45" s="5" t="s">
        <v>243</v>
      </c>
    </row>
    <row r="46" spans="1:15" ht="18.75" customHeight="1">
      <c r="A46" s="12">
        <v>33</v>
      </c>
      <c r="B46" s="13" t="s">
        <v>25</v>
      </c>
      <c r="C46" s="14" t="s">
        <v>73</v>
      </c>
      <c r="D46" s="13" t="s">
        <v>244</v>
      </c>
      <c r="E46" s="15">
        <v>10</v>
      </c>
      <c r="F46" s="16">
        <f t="shared" si="1"/>
        <v>48</v>
      </c>
      <c r="G46" s="16">
        <f t="shared" si="2"/>
        <v>12</v>
      </c>
      <c r="H46" s="19">
        <v>2400</v>
      </c>
      <c r="I46" s="19">
        <v>300</v>
      </c>
      <c r="J46" s="12"/>
      <c r="K46" s="13"/>
      <c r="L46" s="13"/>
      <c r="M46" s="6"/>
      <c r="N46" s="5" t="s">
        <v>245</v>
      </c>
      <c r="O46" s="5" t="s">
        <v>246</v>
      </c>
    </row>
    <row r="47" spans="1:15" ht="18.75" customHeight="1">
      <c r="A47" s="12">
        <v>34</v>
      </c>
      <c r="B47" s="13" t="s">
        <v>44</v>
      </c>
      <c r="C47" s="14" t="s">
        <v>73</v>
      </c>
      <c r="D47" s="13" t="s">
        <v>248</v>
      </c>
      <c r="E47" s="15">
        <v>100</v>
      </c>
      <c r="F47" s="16">
        <f t="shared" si="1"/>
        <v>58.8</v>
      </c>
      <c r="G47" s="16">
        <f t="shared" si="2"/>
        <v>1.2</v>
      </c>
      <c r="H47" s="19">
        <v>2700</v>
      </c>
      <c r="I47" s="19">
        <v>600</v>
      </c>
      <c r="J47" s="12"/>
      <c r="K47" s="13" t="s">
        <v>147</v>
      </c>
      <c r="L47" s="13" t="s">
        <v>247</v>
      </c>
      <c r="M47" s="6"/>
      <c r="N47" s="5" t="s">
        <v>249</v>
      </c>
      <c r="O47" s="5" t="s">
        <v>250</v>
      </c>
    </row>
    <row r="48" spans="1:15" ht="18.75" customHeight="1">
      <c r="A48" s="12">
        <v>35</v>
      </c>
      <c r="B48" s="20" t="s">
        <v>32</v>
      </c>
      <c r="C48" s="14" t="s">
        <v>73</v>
      </c>
      <c r="D48" s="13" t="s">
        <v>252</v>
      </c>
      <c r="E48" s="15">
        <v>100</v>
      </c>
      <c r="F48" s="16">
        <f t="shared" si="1"/>
        <v>58.8</v>
      </c>
      <c r="G48" s="16">
        <f t="shared" si="2"/>
        <v>1.2</v>
      </c>
      <c r="H48" s="12">
        <v>2700</v>
      </c>
      <c r="I48" s="12">
        <v>300</v>
      </c>
      <c r="J48" s="12"/>
      <c r="K48" s="13" t="s">
        <v>78</v>
      </c>
      <c r="L48" s="13" t="s">
        <v>251</v>
      </c>
      <c r="M48" s="3" t="s">
        <v>81</v>
      </c>
      <c r="N48" s="5" t="s">
        <v>253</v>
      </c>
      <c r="O48" s="5" t="s">
        <v>254</v>
      </c>
    </row>
    <row r="49" spans="1:15" ht="18.75" customHeight="1">
      <c r="A49" s="12">
        <v>36</v>
      </c>
      <c r="B49" s="13" t="s">
        <v>3</v>
      </c>
      <c r="C49" s="14" t="s">
        <v>73</v>
      </c>
      <c r="D49" s="13" t="s">
        <v>256</v>
      </c>
      <c r="E49" s="15">
        <v>50</v>
      </c>
      <c r="F49" s="16">
        <f t="shared" si="1"/>
        <v>57.6</v>
      </c>
      <c r="G49" s="16">
        <f t="shared" si="2"/>
        <v>2.4</v>
      </c>
      <c r="H49" s="12">
        <v>1800</v>
      </c>
      <c r="I49" s="12">
        <v>300</v>
      </c>
      <c r="J49" s="12"/>
      <c r="K49" s="13" t="s">
        <v>90</v>
      </c>
      <c r="L49" s="13" t="s">
        <v>255</v>
      </c>
      <c r="M49" s="3"/>
      <c r="N49" s="5" t="s">
        <v>1</v>
      </c>
      <c r="O49" s="5" t="s">
        <v>257</v>
      </c>
    </row>
    <row r="50" spans="1:15" ht="18.75" customHeight="1">
      <c r="A50" s="12">
        <v>37</v>
      </c>
      <c r="B50" s="20" t="s">
        <v>7</v>
      </c>
      <c r="C50" s="14" t="s">
        <v>73</v>
      </c>
      <c r="D50" s="13" t="s">
        <v>259</v>
      </c>
      <c r="E50" s="15">
        <v>10</v>
      </c>
      <c r="F50" s="16">
        <f t="shared" si="1"/>
        <v>48</v>
      </c>
      <c r="G50" s="16">
        <f t="shared" si="2"/>
        <v>12</v>
      </c>
      <c r="H50" s="12">
        <v>3300</v>
      </c>
      <c r="I50" s="12">
        <v>300</v>
      </c>
      <c r="J50" s="12"/>
      <c r="K50" s="13" t="s">
        <v>90</v>
      </c>
      <c r="L50" s="13" t="s">
        <v>258</v>
      </c>
      <c r="M50" s="3"/>
      <c r="N50" s="5" t="s">
        <v>260</v>
      </c>
      <c r="O50" s="5" t="s">
        <v>261</v>
      </c>
    </row>
    <row r="51" spans="1:15" ht="18.75" customHeight="1">
      <c r="A51" s="12">
        <v>38</v>
      </c>
      <c r="B51" s="20" t="s">
        <v>30</v>
      </c>
      <c r="C51" s="14" t="s">
        <v>73</v>
      </c>
      <c r="D51" s="13" t="s">
        <v>263</v>
      </c>
      <c r="E51" s="15">
        <v>100</v>
      </c>
      <c r="F51" s="16">
        <f t="shared" si="1"/>
        <v>58.8</v>
      </c>
      <c r="G51" s="16">
        <f t="shared" si="2"/>
        <v>1.2</v>
      </c>
      <c r="H51" s="12">
        <v>1800</v>
      </c>
      <c r="I51" s="12">
        <v>600</v>
      </c>
      <c r="J51" s="12"/>
      <c r="K51" s="13" t="s">
        <v>90</v>
      </c>
      <c r="L51" s="13" t="s">
        <v>262</v>
      </c>
      <c r="M51" s="3" t="s">
        <v>207</v>
      </c>
      <c r="N51" s="5" t="s">
        <v>264</v>
      </c>
      <c r="O51" s="5" t="s">
        <v>265</v>
      </c>
    </row>
    <row r="52" spans="1:15" ht="18.75" customHeight="1">
      <c r="A52" s="12">
        <v>39</v>
      </c>
      <c r="B52" s="20" t="s">
        <v>43</v>
      </c>
      <c r="C52" s="14" t="s">
        <v>73</v>
      </c>
      <c r="D52" s="13" t="s">
        <v>267</v>
      </c>
      <c r="E52" s="15">
        <v>50</v>
      </c>
      <c r="F52" s="16">
        <f t="shared" si="1"/>
        <v>57.6</v>
      </c>
      <c r="G52" s="16">
        <f t="shared" si="2"/>
        <v>2.4</v>
      </c>
      <c r="H52" s="12">
        <v>900</v>
      </c>
      <c r="I52" s="12">
        <v>600</v>
      </c>
      <c r="J52" s="12"/>
      <c r="K52" s="13" t="s">
        <v>78</v>
      </c>
      <c r="L52" s="13" t="s">
        <v>266</v>
      </c>
      <c r="M52" s="3" t="s">
        <v>268</v>
      </c>
      <c r="N52" s="5" t="s">
        <v>269</v>
      </c>
      <c r="O52" s="5" t="s">
        <v>270</v>
      </c>
    </row>
    <row r="53" spans="1:15" ht="18.75" customHeight="1">
      <c r="A53" s="12">
        <v>40</v>
      </c>
      <c r="B53" s="20" t="s">
        <v>8</v>
      </c>
      <c r="C53" s="14" t="s">
        <v>73</v>
      </c>
      <c r="D53" s="13" t="s">
        <v>271</v>
      </c>
      <c r="E53" s="15">
        <v>10</v>
      </c>
      <c r="F53" s="16">
        <f t="shared" si="1"/>
        <v>48</v>
      </c>
      <c r="G53" s="16">
        <f t="shared" si="2"/>
        <v>12</v>
      </c>
      <c r="H53" s="12">
        <v>3300</v>
      </c>
      <c r="I53" s="12">
        <v>300</v>
      </c>
      <c r="J53" s="12"/>
      <c r="K53" s="13" t="s">
        <v>90</v>
      </c>
      <c r="L53" s="13"/>
      <c r="M53" s="3"/>
      <c r="N53" s="5" t="s">
        <v>272</v>
      </c>
      <c r="O53" s="5" t="s">
        <v>273</v>
      </c>
    </row>
    <row r="54" spans="1:15" ht="18.75" customHeight="1">
      <c r="A54" s="12">
        <v>41</v>
      </c>
      <c r="B54" s="20" t="s">
        <v>10</v>
      </c>
      <c r="C54" s="14" t="s">
        <v>73</v>
      </c>
      <c r="D54" s="13" t="s">
        <v>275</v>
      </c>
      <c r="E54" s="15">
        <v>50</v>
      </c>
      <c r="F54" s="16">
        <f t="shared" si="1"/>
        <v>57.6</v>
      </c>
      <c r="G54" s="16">
        <f t="shared" si="2"/>
        <v>2.4</v>
      </c>
      <c r="H54" s="12">
        <v>3300</v>
      </c>
      <c r="I54" s="12">
        <v>300</v>
      </c>
      <c r="J54" s="12"/>
      <c r="K54" s="13" t="s">
        <v>90</v>
      </c>
      <c r="L54" s="13" t="s">
        <v>274</v>
      </c>
      <c r="M54" s="3"/>
      <c r="N54" s="5" t="s">
        <v>276</v>
      </c>
      <c r="O54" s="5" t="s">
        <v>277</v>
      </c>
    </row>
    <row r="55" spans="1:15" ht="18.75" customHeight="1">
      <c r="A55" s="12">
        <v>42</v>
      </c>
      <c r="B55" s="20" t="s">
        <v>21</v>
      </c>
      <c r="C55" s="14" t="s">
        <v>73</v>
      </c>
      <c r="D55" s="13" t="s">
        <v>279</v>
      </c>
      <c r="E55" s="15">
        <v>50</v>
      </c>
      <c r="F55" s="16">
        <f t="shared" si="1"/>
        <v>57.6</v>
      </c>
      <c r="G55" s="16">
        <f t="shared" si="2"/>
        <v>2.4</v>
      </c>
      <c r="H55" s="12">
        <v>3000</v>
      </c>
      <c r="I55" s="12">
        <v>300</v>
      </c>
      <c r="J55" s="12"/>
      <c r="K55" s="13" t="s">
        <v>78</v>
      </c>
      <c r="L55" s="13" t="s">
        <v>278</v>
      </c>
      <c r="M55" s="3"/>
      <c r="N55" s="5" t="s">
        <v>280</v>
      </c>
      <c r="O55" s="5" t="s">
        <v>281</v>
      </c>
    </row>
    <row r="56" spans="1:15" ht="18.75" customHeight="1">
      <c r="A56" s="12">
        <v>43</v>
      </c>
      <c r="B56" s="20" t="s">
        <v>23</v>
      </c>
      <c r="C56" s="14" t="s">
        <v>73</v>
      </c>
      <c r="D56" s="13" t="s">
        <v>283</v>
      </c>
      <c r="E56" s="15">
        <v>50</v>
      </c>
      <c r="F56" s="16">
        <f t="shared" si="1"/>
        <v>57.6</v>
      </c>
      <c r="G56" s="16">
        <f t="shared" si="2"/>
        <v>2.4</v>
      </c>
      <c r="H56" s="12">
        <v>2400</v>
      </c>
      <c r="I56" s="12">
        <v>300</v>
      </c>
      <c r="J56" s="12"/>
      <c r="K56" s="13" t="s">
        <v>78</v>
      </c>
      <c r="L56" s="13" t="s">
        <v>282</v>
      </c>
      <c r="M56" s="3"/>
      <c r="N56" s="5" t="s">
        <v>284</v>
      </c>
      <c r="O56" s="5" t="s">
        <v>285</v>
      </c>
    </row>
    <row r="57" spans="1:15" ht="18.75" customHeight="1">
      <c r="A57" s="12">
        <v>44</v>
      </c>
      <c r="B57" s="20" t="s">
        <v>52</v>
      </c>
      <c r="C57" s="14" t="s">
        <v>73</v>
      </c>
      <c r="D57" s="13" t="s">
        <v>287</v>
      </c>
      <c r="E57" s="15">
        <v>50</v>
      </c>
      <c r="F57" s="16">
        <f t="shared" si="1"/>
        <v>57.6</v>
      </c>
      <c r="G57" s="16">
        <f t="shared" si="2"/>
        <v>2.4</v>
      </c>
      <c r="H57" s="12">
        <v>1800</v>
      </c>
      <c r="I57" s="12">
        <v>300</v>
      </c>
      <c r="J57" s="12"/>
      <c r="K57" s="13" t="s">
        <v>90</v>
      </c>
      <c r="L57" s="13" t="s">
        <v>286</v>
      </c>
      <c r="M57" s="3"/>
      <c r="N57" s="5" t="s">
        <v>288</v>
      </c>
      <c r="O57" s="5" t="s">
        <v>289</v>
      </c>
    </row>
    <row r="58" spans="1:15" ht="18.75" customHeight="1">
      <c r="A58" s="12">
        <v>45</v>
      </c>
      <c r="B58" s="20" t="s">
        <v>24</v>
      </c>
      <c r="C58" s="14" t="s">
        <v>73</v>
      </c>
      <c r="D58" s="13" t="s">
        <v>291</v>
      </c>
      <c r="E58" s="15">
        <v>50</v>
      </c>
      <c r="F58" s="16">
        <f t="shared" si="1"/>
        <v>57.6</v>
      </c>
      <c r="G58" s="16">
        <f t="shared" si="2"/>
        <v>2.4</v>
      </c>
      <c r="H58" s="12">
        <v>2400</v>
      </c>
      <c r="I58" s="12">
        <v>300</v>
      </c>
      <c r="J58" s="12"/>
      <c r="K58" s="13" t="s">
        <v>107</v>
      </c>
      <c r="L58" s="13" t="s">
        <v>290</v>
      </c>
      <c r="M58" s="3"/>
      <c r="N58" s="5" t="s">
        <v>284</v>
      </c>
      <c r="O58" s="5" t="s">
        <v>292</v>
      </c>
    </row>
    <row r="59" spans="1:15" ht="18.75" customHeight="1">
      <c r="A59" s="12">
        <v>46</v>
      </c>
      <c r="B59" s="20" t="s">
        <v>28</v>
      </c>
      <c r="C59" s="14" t="s">
        <v>73</v>
      </c>
      <c r="D59" s="13" t="s">
        <v>294</v>
      </c>
      <c r="E59" s="15">
        <v>100</v>
      </c>
      <c r="F59" s="16">
        <f t="shared" si="1"/>
        <v>58.8</v>
      </c>
      <c r="G59" s="16">
        <f t="shared" si="2"/>
        <v>1.2</v>
      </c>
      <c r="H59" s="12">
        <v>2400</v>
      </c>
      <c r="I59" s="12">
        <v>600</v>
      </c>
      <c r="J59" s="12"/>
      <c r="K59" s="13" t="s">
        <v>90</v>
      </c>
      <c r="L59" s="13" t="s">
        <v>293</v>
      </c>
      <c r="M59" s="3" t="s">
        <v>207</v>
      </c>
      <c r="N59" s="5" t="s">
        <v>295</v>
      </c>
      <c r="O59" s="5" t="s">
        <v>296</v>
      </c>
    </row>
    <row r="60" spans="1:15" ht="18.75" customHeight="1">
      <c r="A60" s="12">
        <v>47</v>
      </c>
      <c r="B60" s="20" t="s">
        <v>33</v>
      </c>
      <c r="C60" s="14" t="s">
        <v>73</v>
      </c>
      <c r="D60" s="13" t="s">
        <v>298</v>
      </c>
      <c r="E60" s="15">
        <v>25</v>
      </c>
      <c r="F60" s="16">
        <f t="shared" si="1"/>
        <v>55.2</v>
      </c>
      <c r="G60" s="16">
        <f t="shared" si="2"/>
        <v>4.8</v>
      </c>
      <c r="H60" s="12">
        <v>2400</v>
      </c>
      <c r="I60" s="12">
        <v>300</v>
      </c>
      <c r="J60" s="12"/>
      <c r="K60" s="13" t="s">
        <v>90</v>
      </c>
      <c r="L60" s="13" t="s">
        <v>297</v>
      </c>
      <c r="M60" s="3" t="s">
        <v>207</v>
      </c>
      <c r="N60" s="5" t="s">
        <v>299</v>
      </c>
      <c r="O60" s="5" t="s">
        <v>300</v>
      </c>
    </row>
    <row r="61" spans="1:15" ht="18.75" customHeight="1">
      <c r="A61" s="12">
        <v>48</v>
      </c>
      <c r="B61" s="20" t="s">
        <v>34</v>
      </c>
      <c r="C61" s="14" t="s">
        <v>73</v>
      </c>
      <c r="D61" s="13" t="s">
        <v>302</v>
      </c>
      <c r="E61" s="15">
        <v>20</v>
      </c>
      <c r="F61" s="16">
        <f t="shared" si="1"/>
        <v>54</v>
      </c>
      <c r="G61" s="16">
        <f t="shared" si="2"/>
        <v>6</v>
      </c>
      <c r="H61" s="12">
        <v>2700</v>
      </c>
      <c r="I61" s="12">
        <v>600</v>
      </c>
      <c r="J61" s="12"/>
      <c r="K61" s="13" t="s">
        <v>301</v>
      </c>
      <c r="L61" s="13"/>
      <c r="M61" s="3" t="s">
        <v>303</v>
      </c>
      <c r="N61" s="5" t="s">
        <v>304</v>
      </c>
      <c r="O61" s="5" t="s">
        <v>305</v>
      </c>
    </row>
    <row r="62" spans="1:15" ht="18.75" customHeight="1">
      <c r="A62" s="12">
        <v>49</v>
      </c>
      <c r="B62" s="13" t="s">
        <v>56</v>
      </c>
      <c r="C62" s="14" t="s">
        <v>73</v>
      </c>
      <c r="D62" s="13" t="s">
        <v>307</v>
      </c>
      <c r="E62" s="15">
        <v>50</v>
      </c>
      <c r="F62" s="16">
        <f t="shared" si="1"/>
        <v>57.6</v>
      </c>
      <c r="G62" s="16">
        <f t="shared" si="2"/>
        <v>2.4</v>
      </c>
      <c r="H62" s="19">
        <v>900</v>
      </c>
      <c r="I62" s="19">
        <v>600</v>
      </c>
      <c r="J62" s="12"/>
      <c r="K62" s="13" t="s">
        <v>90</v>
      </c>
      <c r="L62" s="13" t="s">
        <v>306</v>
      </c>
      <c r="M62" s="3"/>
      <c r="N62" s="5" t="s">
        <v>308</v>
      </c>
      <c r="O62" s="5" t="s">
        <v>309</v>
      </c>
    </row>
    <row r="63" spans="1:15" ht="18.75" customHeight="1">
      <c r="A63" s="12">
        <v>50</v>
      </c>
      <c r="B63" s="20" t="s">
        <v>35</v>
      </c>
      <c r="C63" s="14" t="s">
        <v>73</v>
      </c>
      <c r="D63" s="13" t="s">
        <v>311</v>
      </c>
      <c r="E63" s="15">
        <v>300</v>
      </c>
      <c r="F63" s="16">
        <f t="shared" si="1"/>
        <v>59.6</v>
      </c>
      <c r="G63" s="16">
        <f t="shared" si="2"/>
        <v>0.4</v>
      </c>
      <c r="H63" s="12">
        <v>2700</v>
      </c>
      <c r="I63" s="12">
        <v>600</v>
      </c>
      <c r="J63" s="12"/>
      <c r="K63" s="13" t="s">
        <v>78</v>
      </c>
      <c r="L63" s="13" t="s">
        <v>310</v>
      </c>
      <c r="M63" s="3" t="s">
        <v>81</v>
      </c>
      <c r="N63" s="5" t="s">
        <v>312</v>
      </c>
      <c r="O63" s="5" t="s">
        <v>313</v>
      </c>
    </row>
    <row r="64" spans="1:15" ht="18.75" customHeight="1">
      <c r="A64" s="12">
        <v>51</v>
      </c>
      <c r="B64" s="20" t="s">
        <v>39</v>
      </c>
      <c r="C64" s="14" t="s">
        <v>73</v>
      </c>
      <c r="D64" s="13" t="s">
        <v>315</v>
      </c>
      <c r="E64" s="15">
        <v>200</v>
      </c>
      <c r="F64" s="16">
        <f t="shared" si="1"/>
        <v>59.4</v>
      </c>
      <c r="G64" s="16">
        <f t="shared" si="2"/>
        <v>0.6</v>
      </c>
      <c r="H64" s="12">
        <v>900</v>
      </c>
      <c r="I64" s="12">
        <v>600</v>
      </c>
      <c r="J64" s="12"/>
      <c r="K64" s="13" t="s">
        <v>107</v>
      </c>
      <c r="L64" s="20" t="s">
        <v>314</v>
      </c>
      <c r="M64" s="3" t="s">
        <v>81</v>
      </c>
      <c r="N64" s="5" t="s">
        <v>316</v>
      </c>
      <c r="O64" s="5" t="s">
        <v>317</v>
      </c>
    </row>
    <row r="65" spans="1:15" ht="18.75" customHeight="1">
      <c r="A65" s="12">
        <v>52</v>
      </c>
      <c r="B65" s="13" t="s">
        <v>318</v>
      </c>
      <c r="C65" s="14" t="s">
        <v>73</v>
      </c>
      <c r="D65" s="13" t="s">
        <v>320</v>
      </c>
      <c r="E65" s="15">
        <v>50</v>
      </c>
      <c r="F65" s="16">
        <f t="shared" si="1"/>
        <v>57.6</v>
      </c>
      <c r="G65" s="16">
        <f t="shared" si="2"/>
        <v>2.4</v>
      </c>
      <c r="H65" s="12">
        <v>3000</v>
      </c>
      <c r="I65" s="12">
        <v>300</v>
      </c>
      <c r="J65" s="27" t="s">
        <v>321</v>
      </c>
      <c r="K65" s="13" t="s">
        <v>90</v>
      </c>
      <c r="L65" s="13" t="s">
        <v>319</v>
      </c>
      <c r="M65" s="3"/>
      <c r="N65" s="5" t="s">
        <v>322</v>
      </c>
      <c r="O65" s="5" t="s">
        <v>323</v>
      </c>
    </row>
    <row r="66" spans="1:15" ht="18.75" customHeight="1">
      <c r="A66" s="47">
        <v>53</v>
      </c>
      <c r="B66" s="13" t="s">
        <v>324</v>
      </c>
      <c r="C66" s="14" t="s">
        <v>73</v>
      </c>
      <c r="D66" s="44" t="s">
        <v>325</v>
      </c>
      <c r="E66" s="15">
        <v>50</v>
      </c>
      <c r="F66" s="50">
        <f>60-G66-G67</f>
        <v>57</v>
      </c>
      <c r="G66" s="16">
        <f t="shared" si="2"/>
        <v>2.4</v>
      </c>
      <c r="H66" s="47">
        <v>3000</v>
      </c>
      <c r="I66" s="12">
        <v>300</v>
      </c>
      <c r="J66" s="12"/>
      <c r="K66" s="13" t="s">
        <v>90</v>
      </c>
      <c r="L66" s="13"/>
      <c r="M66" s="3"/>
      <c r="N66" s="5" t="s">
        <v>1</v>
      </c>
      <c r="O66" s="5" t="s">
        <v>326</v>
      </c>
    </row>
    <row r="67" spans="1:15" ht="18.75" customHeight="1">
      <c r="A67" s="54"/>
      <c r="B67" s="13" t="s">
        <v>48</v>
      </c>
      <c r="C67" s="14" t="s">
        <v>75</v>
      </c>
      <c r="D67" s="46"/>
      <c r="E67" s="15">
        <v>200</v>
      </c>
      <c r="F67" s="52"/>
      <c r="G67" s="16">
        <f t="shared" si="2"/>
        <v>0.6</v>
      </c>
      <c r="H67" s="49"/>
      <c r="I67" s="19">
        <v>600</v>
      </c>
      <c r="J67" s="12"/>
      <c r="K67" s="13" t="s">
        <v>107</v>
      </c>
      <c r="L67" s="13" t="s">
        <v>283</v>
      </c>
      <c r="M67" s="3" t="s">
        <v>327</v>
      </c>
      <c r="N67" s="5" t="s">
        <v>328</v>
      </c>
      <c r="O67" s="5" t="s">
        <v>329</v>
      </c>
    </row>
    <row r="68" spans="1:15" ht="18.75" customHeight="1">
      <c r="A68" s="47">
        <v>54</v>
      </c>
      <c r="B68" s="20" t="s">
        <v>42</v>
      </c>
      <c r="C68" s="14" t="s">
        <v>73</v>
      </c>
      <c r="D68" s="44" t="s">
        <v>331</v>
      </c>
      <c r="E68" s="15">
        <v>200</v>
      </c>
      <c r="F68" s="50">
        <f>60-G68-G69</f>
        <v>58.199999999999996</v>
      </c>
      <c r="G68" s="16">
        <f t="shared" si="2"/>
        <v>0.6</v>
      </c>
      <c r="H68" s="47">
        <v>3000</v>
      </c>
      <c r="I68" s="12">
        <v>600</v>
      </c>
      <c r="J68" s="12"/>
      <c r="K68" s="13" t="s">
        <v>231</v>
      </c>
      <c r="L68" s="13" t="s">
        <v>330</v>
      </c>
      <c r="M68" s="3" t="s">
        <v>81</v>
      </c>
      <c r="N68" s="5" t="s">
        <v>332</v>
      </c>
      <c r="O68" s="5" t="s">
        <v>333</v>
      </c>
    </row>
    <row r="69" spans="1:15" ht="18.75" customHeight="1">
      <c r="A69" s="54"/>
      <c r="B69" s="20" t="s">
        <v>47</v>
      </c>
      <c r="C69" s="14" t="s">
        <v>75</v>
      </c>
      <c r="D69" s="46"/>
      <c r="E69" s="15">
        <v>100</v>
      </c>
      <c r="F69" s="52"/>
      <c r="G69" s="16">
        <f t="shared" si="2"/>
        <v>1.2</v>
      </c>
      <c r="H69" s="49"/>
      <c r="I69" s="12">
        <v>300</v>
      </c>
      <c r="J69" s="12"/>
      <c r="K69" s="13"/>
      <c r="L69" s="13"/>
      <c r="M69" s="3" t="s">
        <v>334</v>
      </c>
      <c r="N69" s="5" t="s">
        <v>335</v>
      </c>
      <c r="O69" s="5" t="s">
        <v>336</v>
      </c>
    </row>
    <row r="70" spans="1:15" ht="18.75" customHeight="1">
      <c r="A70" s="47">
        <v>55</v>
      </c>
      <c r="B70" s="20" t="s">
        <v>26</v>
      </c>
      <c r="C70" s="14" t="s">
        <v>73</v>
      </c>
      <c r="D70" s="44" t="s">
        <v>338</v>
      </c>
      <c r="E70" s="15">
        <v>50</v>
      </c>
      <c r="F70" s="50">
        <f>60-G70-G71</f>
        <v>57</v>
      </c>
      <c r="G70" s="16">
        <f t="shared" si="2"/>
        <v>2.4</v>
      </c>
      <c r="H70" s="47">
        <v>3000</v>
      </c>
      <c r="I70" s="12">
        <v>300</v>
      </c>
      <c r="J70" s="27" t="s">
        <v>339</v>
      </c>
      <c r="K70" s="13" t="s">
        <v>90</v>
      </c>
      <c r="L70" s="13" t="s">
        <v>337</v>
      </c>
      <c r="M70" s="3" t="s">
        <v>207</v>
      </c>
      <c r="N70" s="5" t="s">
        <v>340</v>
      </c>
      <c r="O70" s="5" t="s">
        <v>341</v>
      </c>
    </row>
    <row r="71" spans="1:15" ht="18.75" customHeight="1">
      <c r="A71" s="54"/>
      <c r="B71" s="13" t="s">
        <v>14</v>
      </c>
      <c r="C71" s="14" t="s">
        <v>75</v>
      </c>
      <c r="D71" s="46"/>
      <c r="E71" s="15">
        <v>200</v>
      </c>
      <c r="F71" s="52"/>
      <c r="G71" s="16">
        <f t="shared" si="2"/>
        <v>0.6</v>
      </c>
      <c r="H71" s="49"/>
      <c r="I71" s="19">
        <v>600</v>
      </c>
      <c r="J71" s="12"/>
      <c r="K71" s="13" t="s">
        <v>78</v>
      </c>
      <c r="L71" s="13" t="s">
        <v>342</v>
      </c>
      <c r="M71" s="6"/>
      <c r="N71" s="5" t="s">
        <v>343</v>
      </c>
      <c r="O71" s="5" t="s">
        <v>344</v>
      </c>
    </row>
    <row r="72" spans="1:15" ht="18.75" customHeight="1">
      <c r="A72" s="47">
        <v>56</v>
      </c>
      <c r="B72" s="13" t="s">
        <v>0</v>
      </c>
      <c r="C72" s="14" t="s">
        <v>73</v>
      </c>
      <c r="D72" s="44" t="s">
        <v>346</v>
      </c>
      <c r="E72" s="15">
        <v>200</v>
      </c>
      <c r="F72" s="50">
        <f>60-G72-G73-G74</f>
        <v>57.9</v>
      </c>
      <c r="G72" s="16">
        <f t="shared" si="2"/>
        <v>0.6</v>
      </c>
      <c r="H72" s="47">
        <v>1800</v>
      </c>
      <c r="I72" s="19">
        <v>600</v>
      </c>
      <c r="J72" s="12"/>
      <c r="K72" s="13" t="s">
        <v>107</v>
      </c>
      <c r="L72" s="13" t="s">
        <v>345</v>
      </c>
      <c r="M72" s="3"/>
      <c r="N72" s="5" t="s">
        <v>347</v>
      </c>
      <c r="O72" s="5" t="s">
        <v>348</v>
      </c>
    </row>
    <row r="73" spans="1:15" ht="18.75" customHeight="1">
      <c r="A73" s="53"/>
      <c r="B73" s="20" t="s">
        <v>26</v>
      </c>
      <c r="C73" s="14" t="s">
        <v>103</v>
      </c>
      <c r="D73" s="45"/>
      <c r="E73" s="15">
        <v>100</v>
      </c>
      <c r="F73" s="51"/>
      <c r="G73" s="16">
        <f t="shared" si="2"/>
        <v>1.2</v>
      </c>
      <c r="H73" s="48"/>
      <c r="I73" s="12">
        <v>300</v>
      </c>
      <c r="J73" s="27" t="s">
        <v>351</v>
      </c>
      <c r="K73" s="13" t="s">
        <v>349</v>
      </c>
      <c r="L73" s="13" t="s">
        <v>350</v>
      </c>
      <c r="M73" s="3"/>
      <c r="N73" s="5" t="s">
        <v>340</v>
      </c>
      <c r="O73" s="5" t="s">
        <v>341</v>
      </c>
    </row>
    <row r="74" spans="1:15" ht="18.75" customHeight="1">
      <c r="A74" s="54"/>
      <c r="B74" s="13" t="s">
        <v>352</v>
      </c>
      <c r="C74" s="14" t="s">
        <v>352</v>
      </c>
      <c r="D74" s="46"/>
      <c r="E74" s="15">
        <v>400</v>
      </c>
      <c r="F74" s="52"/>
      <c r="G74" s="16">
        <f t="shared" si="2"/>
        <v>0.3</v>
      </c>
      <c r="H74" s="49"/>
      <c r="I74" s="12">
        <v>300</v>
      </c>
      <c r="J74" s="12"/>
      <c r="K74" s="13"/>
      <c r="L74" s="13"/>
      <c r="M74" s="3"/>
      <c r="N74" s="5" t="s">
        <v>353</v>
      </c>
      <c r="O74" s="5" t="s">
        <v>354</v>
      </c>
    </row>
    <row r="75" spans="1:15" ht="18.75" customHeight="1">
      <c r="A75" s="28"/>
      <c r="B75" s="29"/>
      <c r="C75" s="30"/>
      <c r="D75" s="31"/>
      <c r="E75" s="31"/>
      <c r="F75" s="32"/>
      <c r="G75" s="32"/>
      <c r="H75" s="33">
        <f>SUM(H5:H74)*1.1</f>
        <v>162360</v>
      </c>
      <c r="I75" s="34">
        <f>SUM(I5:I74)</f>
        <v>28501</v>
      </c>
      <c r="J75" s="28"/>
      <c r="K75" s="29"/>
      <c r="L75" s="29"/>
      <c r="M75" s="9"/>
      <c r="N75" s="10"/>
      <c r="O75" s="10"/>
    </row>
    <row r="76" spans="1:15" ht="18.75" customHeight="1">
      <c r="A76" s="28"/>
      <c r="B76" s="29"/>
      <c r="C76" s="30"/>
      <c r="D76" s="31"/>
      <c r="E76" s="31"/>
      <c r="F76" s="32"/>
      <c r="G76" s="32"/>
      <c r="H76" s="33">
        <f>H75/60</f>
        <v>2706</v>
      </c>
      <c r="I76" s="33">
        <f>I75/60</f>
        <v>475.01666666666665</v>
      </c>
      <c r="J76" s="28"/>
      <c r="K76" s="29"/>
      <c r="L76" s="29"/>
      <c r="M76" s="9"/>
      <c r="N76" s="10"/>
      <c r="O76" s="10"/>
    </row>
    <row r="77" spans="1:15" ht="18.75" customHeight="1">
      <c r="A77" s="28"/>
      <c r="B77" s="29"/>
      <c r="C77" s="30"/>
      <c r="D77" s="31"/>
      <c r="E77" s="31"/>
      <c r="F77" s="32"/>
      <c r="G77" s="32"/>
      <c r="H77" s="33">
        <f>H76/60</f>
        <v>45.1</v>
      </c>
      <c r="I77" s="33" t="e">
        <f>(I76/60)*#REF!</f>
        <v>#REF!</v>
      </c>
      <c r="J77" s="28"/>
      <c r="K77" s="29"/>
      <c r="L77" s="29"/>
      <c r="M77" s="9"/>
      <c r="N77" s="10"/>
      <c r="O77" s="10"/>
    </row>
    <row r="78" spans="1:15" ht="18.75" customHeight="1">
      <c r="A78" s="28"/>
      <c r="B78" s="29"/>
      <c r="C78" s="30"/>
      <c r="D78" s="31"/>
      <c r="E78" s="31"/>
      <c r="F78" s="32"/>
      <c r="G78" s="32"/>
      <c r="H78" s="33"/>
      <c r="I78" s="33" t="e">
        <f>I77+H77</f>
        <v>#REF!</v>
      </c>
      <c r="J78" s="28"/>
      <c r="K78" s="29"/>
      <c r="L78" s="29"/>
      <c r="M78" s="9"/>
      <c r="N78" s="10"/>
      <c r="O78" s="10"/>
    </row>
    <row r="79" spans="1:15" ht="18.75" customHeight="1">
      <c r="A79" s="28"/>
      <c r="B79" s="29"/>
      <c r="C79" s="30"/>
      <c r="D79" s="31"/>
      <c r="E79" s="31"/>
      <c r="F79" s="32"/>
      <c r="G79" s="32"/>
      <c r="H79" s="35" t="s">
        <v>355</v>
      </c>
      <c r="I79" s="36" t="e">
        <f>(I78+((50*20)/60))</f>
        <v>#REF!</v>
      </c>
      <c r="J79" s="28"/>
      <c r="K79" s="29"/>
      <c r="L79" s="29"/>
      <c r="M79" s="9"/>
      <c r="N79" s="10"/>
      <c r="O79" s="10"/>
    </row>
    <row r="80" spans="1:15" ht="18.75" customHeight="1">
      <c r="A80" s="28"/>
      <c r="B80" s="29"/>
      <c r="C80" s="30"/>
      <c r="D80" s="31"/>
      <c r="E80" s="31"/>
      <c r="F80" s="32"/>
      <c r="G80" s="32"/>
      <c r="H80" s="35" t="s">
        <v>356</v>
      </c>
      <c r="I80" s="36" t="e">
        <f>I79/24</f>
        <v>#REF!</v>
      </c>
      <c r="J80" s="28"/>
      <c r="K80" s="29"/>
      <c r="L80" s="29"/>
      <c r="M80" s="9"/>
      <c r="N80" s="10"/>
      <c r="O80" s="10"/>
    </row>
  </sheetData>
  <mergeCells count="42">
    <mergeCell ref="A3:A6"/>
    <mergeCell ref="A7:A10"/>
    <mergeCell ref="D7:D10"/>
    <mergeCell ref="F7:F10"/>
    <mergeCell ref="H7:H10"/>
    <mergeCell ref="A11:A13"/>
    <mergeCell ref="D11:D13"/>
    <mergeCell ref="F11:F13"/>
    <mergeCell ref="H11:H13"/>
    <mergeCell ref="A14:A15"/>
    <mergeCell ref="D14:D15"/>
    <mergeCell ref="F14:F15"/>
    <mergeCell ref="H14:H15"/>
    <mergeCell ref="A16:A17"/>
    <mergeCell ref="D16:D17"/>
    <mergeCell ref="F16:F17"/>
    <mergeCell ref="H16:H17"/>
    <mergeCell ref="H70:H71"/>
    <mergeCell ref="A18:A19"/>
    <mergeCell ref="D18:D19"/>
    <mergeCell ref="F18:F19"/>
    <mergeCell ref="H18:H19"/>
    <mergeCell ref="A66:A67"/>
    <mergeCell ref="D66:D67"/>
    <mergeCell ref="F66:F67"/>
    <mergeCell ref="H66:H67"/>
    <mergeCell ref="J1:O1"/>
    <mergeCell ref="D3:D6"/>
    <mergeCell ref="H3:H6"/>
    <mergeCell ref="F3:F6"/>
    <mergeCell ref="A72:A74"/>
    <mergeCell ref="D72:D74"/>
    <mergeCell ref="F72:F74"/>
    <mergeCell ref="H72:H74"/>
    <mergeCell ref="A1:I1"/>
    <mergeCell ref="A68:A69"/>
    <mergeCell ref="D68:D69"/>
    <mergeCell ref="F68:F69"/>
    <mergeCell ref="H68:H69"/>
    <mergeCell ref="A70:A71"/>
    <mergeCell ref="D70:D71"/>
    <mergeCell ref="F70:F71"/>
  </mergeCells>
  <conditionalFormatting sqref="C3:C1048576">
    <cfRule type="cellIs" dxfId="10" priority="2" operator="equal">
      <formula>"Sytox"</formula>
    </cfRule>
    <cfRule type="cellIs" dxfId="9" priority="3" operator="equal">
      <formula>"GFP"</formula>
    </cfRule>
    <cfRule type="cellIs" dxfId="8" priority="4" operator="equal">
      <formula>"FITC"</formula>
    </cfRule>
    <cfRule type="cellIs" dxfId="7" priority="5" operator="equal">
      <formula>"A647"</formula>
    </cfRule>
    <cfRule type="cellIs" dxfId="6" priority="6" operator="equal">
      <formula>"APC"</formula>
    </cfRule>
    <cfRule type="cellIs" dxfId="5" priority="7" operator="equal">
      <formula>"A405"</formula>
    </cfRule>
    <cfRule type="cellIs" dxfId="4" priority="8" operator="equal">
      <formula>"A488"</formula>
    </cfRule>
    <cfRule type="cellIs" dxfId="3" priority="9" operator="equal">
      <formula>"A555"</formula>
    </cfRule>
    <cfRule type="cellIs" dxfId="2" priority="10" operator="equal">
      <formula>"PE"</formula>
    </cfRule>
    <cfRule type="expression" dxfId="1" priority="12">
      <formula>"GFP"</formula>
    </cfRule>
  </conditionalFormatting>
  <conditionalFormatting sqref="C3:C1048576 A1:I1">
    <cfRule type="cellIs" dxfId="0" priority="1" operator="equal">
      <formula>"GFP"</formula>
    </cfRule>
  </conditionalFormatting>
  <dataValidations count="1">
    <dataValidation type="list" allowBlank="1" showInputMessage="1" showErrorMessage="1" sqref="C3:C1048576">
      <formula1>"PE,A555,FITC,Sytox,GFP,A488,APC,A647,DAPI"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Run_settings</vt:lpstr>
      <vt:lpstr>MELC_panel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Neel.Gangrade</cp:lastModifiedBy>
  <dcterms:created xsi:type="dcterms:W3CDTF">2026-02-13T09:06:58Z</dcterms:created>
  <dcterms:modified xsi:type="dcterms:W3CDTF">2026-02-24T09:51:18Z</dcterms:modified>
</cp:coreProperties>
</file>