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Repositories\melc-automation\xml-automation\automatic_xml_creator\"/>
    </mc:Choice>
  </mc:AlternateContent>
  <xr:revisionPtr revIDLastSave="0" documentId="13_ncr:1_{1E029B7A-DE4F-45D5-9111-1434F6CA9DC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un_settings" sheetId="2" r:id="rId1"/>
    <sheet name="MELC_panel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F7" i="1" s="1"/>
  <c r="G33" i="1"/>
  <c r="F33" i="1" s="1"/>
  <c r="G15" i="1"/>
  <c r="F15" i="1" s="1"/>
  <c r="I43" i="1"/>
  <c r="I44" i="1" s="1"/>
  <c r="I45" i="1" s="1"/>
  <c r="H43" i="1"/>
  <c r="H44" i="1" s="1"/>
  <c r="H45" i="1" s="1"/>
  <c r="G42" i="1"/>
  <c r="G41" i="1"/>
  <c r="G40" i="1"/>
  <c r="G39" i="1"/>
  <c r="F39" i="1" s="1"/>
  <c r="G38" i="1"/>
  <c r="F38" i="1" s="1"/>
  <c r="G37" i="1"/>
  <c r="G36" i="1"/>
  <c r="G35" i="1"/>
  <c r="F35" i="1" s="1"/>
  <c r="G34" i="1"/>
  <c r="F34" i="1" s="1"/>
  <c r="G32" i="1"/>
  <c r="F32" i="1" s="1"/>
  <c r="G31" i="1"/>
  <c r="F31" i="1" s="1"/>
  <c r="G30" i="1"/>
  <c r="F30" i="1" s="1"/>
  <c r="G29" i="1"/>
  <c r="F29" i="1" s="1"/>
  <c r="G28" i="1"/>
  <c r="F28" i="1" s="1"/>
  <c r="G27" i="1"/>
  <c r="F27" i="1" s="1"/>
  <c r="G26" i="1"/>
  <c r="F26" i="1" s="1"/>
  <c r="G25" i="1"/>
  <c r="F25" i="1" s="1"/>
  <c r="G24" i="1"/>
  <c r="F24" i="1" s="1"/>
  <c r="G23" i="1"/>
  <c r="F23" i="1" s="1"/>
  <c r="G22" i="1"/>
  <c r="F22" i="1" s="1"/>
  <c r="G21" i="1"/>
  <c r="G20" i="1"/>
  <c r="G19" i="1"/>
  <c r="G18" i="1"/>
  <c r="G17" i="1"/>
  <c r="G16" i="1"/>
  <c r="G14" i="1"/>
  <c r="G13" i="1"/>
  <c r="G12" i="1"/>
  <c r="G10" i="1"/>
  <c r="G9" i="1"/>
  <c r="G8" i="1"/>
  <c r="F3" i="1"/>
  <c r="F8" i="1" l="1"/>
  <c r="F20" i="1"/>
  <c r="F12" i="1"/>
  <c r="F36" i="1"/>
  <c r="F16" i="1"/>
  <c r="F18" i="1"/>
  <c r="F40" i="1"/>
  <c r="I46" i="1"/>
  <c r="I47" i="1" s="1"/>
  <c r="I48" i="1" s="1"/>
</calcChain>
</file>

<file path=xl/sharedStrings.xml><?xml version="1.0" encoding="utf-8"?>
<sst xmlns="http://schemas.openxmlformats.org/spreadsheetml/2006/main" count="277" uniqueCount="211">
  <si>
    <t>CD45</t>
  </si>
  <si>
    <t>B cells</t>
  </si>
  <si>
    <t>IRF4</t>
  </si>
  <si>
    <t>CD138</t>
  </si>
  <si>
    <t>Kappa</t>
  </si>
  <si>
    <t>CD3</t>
  </si>
  <si>
    <t>CD4</t>
  </si>
  <si>
    <t>CD127</t>
  </si>
  <si>
    <t>CD90.2</t>
  </si>
  <si>
    <t>GATA3</t>
  </si>
  <si>
    <t>Tbet</t>
  </si>
  <si>
    <t>RORgt</t>
  </si>
  <si>
    <t>KLRG1</t>
  </si>
  <si>
    <t>pSTAT6</t>
  </si>
  <si>
    <t>F4/80</t>
  </si>
  <si>
    <t>CD11c</t>
  </si>
  <si>
    <t>CD169</t>
  </si>
  <si>
    <t>CD163</t>
  </si>
  <si>
    <t>Ly6C</t>
  </si>
  <si>
    <t>Ly6G</t>
  </si>
  <si>
    <t>EMCN</t>
  </si>
  <si>
    <t>COLIV</t>
  </si>
  <si>
    <t>CD146</t>
  </si>
  <si>
    <t>CD105</t>
  </si>
  <si>
    <t>Sca1</t>
  </si>
  <si>
    <t>VIM</t>
  </si>
  <si>
    <t>SMA</t>
  </si>
  <si>
    <t>MHCII</t>
  </si>
  <si>
    <t>Ki67</t>
  </si>
  <si>
    <t>CD44</t>
  </si>
  <si>
    <t>PD1</t>
  </si>
  <si>
    <t>Name</t>
  </si>
  <si>
    <t>Dye</t>
  </si>
  <si>
    <t>Company</t>
  </si>
  <si>
    <t>Clone</t>
  </si>
  <si>
    <t>Well</t>
  </si>
  <si>
    <t>Dilution</t>
  </si>
  <si>
    <t>PBS</t>
  </si>
  <si>
    <t>Amount antibody</t>
  </si>
  <si>
    <t>Vial</t>
  </si>
  <si>
    <t>Comment</t>
  </si>
  <si>
    <t xml:space="preserve">Incubation time </t>
  </si>
  <si>
    <t>Bleaching time</t>
  </si>
  <si>
    <t>Cell Types (Mouse Lung Context)</t>
  </si>
  <si>
    <t>Main Function of the Marker</t>
  </si>
  <si>
    <t>Blocking</t>
  </si>
  <si>
    <t>PE</t>
  </si>
  <si>
    <t>A488</t>
  </si>
  <si>
    <t>APC</t>
  </si>
  <si>
    <t>A1</t>
  </si>
  <si>
    <t>A405</t>
  </si>
  <si>
    <t>Biolegend</t>
  </si>
  <si>
    <t>RM4-5</t>
  </si>
  <si>
    <t>A2</t>
  </si>
  <si>
    <t>Red cap SK</t>
  </si>
  <si>
    <t>T Helper cells (Th), some NKT cells, Inducers</t>
  </si>
  <si>
    <t>Co-receptor for MHC Class II; signal amplification in T cell activation.</t>
  </si>
  <si>
    <t>a-GFP</t>
  </si>
  <si>
    <t>Rockland</t>
  </si>
  <si>
    <t>polyclonal</t>
  </si>
  <si>
    <t>Normal eppi SK</t>
  </si>
  <si>
    <t>GFP+ cells (Transgenic reporters)</t>
  </si>
  <si>
    <t>Anti-GFP antibody: Used to detect Green Fluorescent Protein in genetically modified cells.</t>
  </si>
  <si>
    <t>Miltenyi</t>
  </si>
  <si>
    <t>Plasma cells, DCs, Th2/Th17 cells</t>
  </si>
  <si>
    <t>Transcription factor regulating lymphocyte differentiation and DC priming.</t>
  </si>
  <si>
    <t>DAPI</t>
  </si>
  <si>
    <t>BD</t>
  </si>
  <si>
    <t>Q31-378</t>
  </si>
  <si>
    <t>A3</t>
  </si>
  <si>
    <t>Th17 cells, ILC3, some Gamma-Delta T cells</t>
  </si>
  <si>
    <t>Transcription factor driving Th17 differentiation and IL-17 production.</t>
  </si>
  <si>
    <t>FITC</t>
  </si>
  <si>
    <t>DRFZ</t>
  </si>
  <si>
    <t>187.2</t>
  </si>
  <si>
    <t>Ig kappa Light Chain: Component of the B Cell Receptor/Antibody.</t>
  </si>
  <si>
    <t>A647</t>
  </si>
  <si>
    <t>4B10</t>
  </si>
  <si>
    <t>Th1 cells, ILC1, NK cells</t>
  </si>
  <si>
    <t>Transcription factor driving Th1 differentiation and IFNg production.</t>
  </si>
  <si>
    <t>Invitrogen</t>
  </si>
  <si>
    <t>A7R34</t>
  </si>
  <si>
    <t>A4</t>
  </si>
  <si>
    <t>Naive/Memory T cells, ILCs (Low on Tregs)</t>
  </si>
  <si>
    <t>IL-7 Receptor alpha: Essential for lymphocyte survival and homeostasis.</t>
  </si>
  <si>
    <t>Abcam</t>
  </si>
  <si>
    <t>abcam eppi white cap SK</t>
  </si>
  <si>
    <t>Myofibroblasts, Smooth Muscle Cells</t>
  </si>
  <si>
    <t>alpha-Smooth Muscle Actin: Cytoskeletal protein enabling contraction.</t>
  </si>
  <si>
    <t>SolA15</t>
  </si>
  <si>
    <t>A5</t>
  </si>
  <si>
    <t>Proliferating cells (any type)</t>
  </si>
  <si>
    <t>Nuclear protein associated with cell proliferation (absent in G0 phase).</t>
  </si>
  <si>
    <t>Basement Membrane (Endothelium/Epithelium)</t>
  </si>
  <si>
    <t>Collagen IV: Structural ECM component; provides scaffolding for tissues.</t>
  </si>
  <si>
    <t>281-2</t>
  </si>
  <si>
    <t>A6</t>
  </si>
  <si>
    <t>Plasma cells, Epithelial cells</t>
  </si>
  <si>
    <t>Syndecan-1: Cell adhesion molecule; binds chemokines and growth factors in the ECM.</t>
  </si>
  <si>
    <t>EPR3776</t>
  </si>
  <si>
    <t>Mesenchymal cells (Fibroblasts, Endothelium, Immune)</t>
  </si>
  <si>
    <t>Vimentin: Intermediate filament protein; marker of Epithelial-Mesenchymal Transition (EMT).</t>
  </si>
  <si>
    <t>BD/invitrogen</t>
  </si>
  <si>
    <t>L50-823</t>
  </si>
  <si>
    <t>A7</t>
  </si>
  <si>
    <t>Th2 cells, ILC2</t>
  </si>
  <si>
    <t>Transcription factor driving Th2 differentiation (crucial for allergic airway inflammation).</t>
  </si>
  <si>
    <t>3D6.112</t>
  </si>
  <si>
    <t>A8</t>
  </si>
  <si>
    <t>White cap red klebi SK</t>
  </si>
  <si>
    <t>Alveolar Macrophages (subset), Metallophilic M$\phi$</t>
  </si>
  <si>
    <t>Siglec-1: Sialic acid receptor involved in pathogen capture/presentation.</t>
  </si>
  <si>
    <t>A9</t>
  </si>
  <si>
    <t>Brown eppi</t>
  </si>
  <si>
    <t>Endothelial cells, Pericytes</t>
  </si>
  <si>
    <t>MCAM: Adhesion molecule involved in vascular permeability and cohesion.</t>
  </si>
  <si>
    <t>2F1/KLRG1</t>
  </si>
  <si>
    <t>A10</t>
  </si>
  <si>
    <t>Senescent or Terminal Effector T/NK cells</t>
  </si>
  <si>
    <t>Inhibitory receptor (cadherin-binding); marks terminal differentiation.</t>
  </si>
  <si>
    <t>Novus Bio</t>
  </si>
  <si>
    <t>177C322.1</t>
  </si>
  <si>
    <t>A11</t>
  </si>
  <si>
    <t>IL-4/IL-13 responsive cells (Th2, Macrophages)</t>
  </si>
  <si>
    <t>Phosphorylated transcription factor mediating allergic/Th2 signaling.</t>
  </si>
  <si>
    <r>
      <t>Invitrogen</t>
    </r>
    <r>
      <rPr>
        <sz val="8"/>
        <color theme="1"/>
        <rFont val="Aptos Narrow"/>
        <family val="2"/>
      </rPr>
      <t xml:space="preserve"> (self coupled)</t>
    </r>
  </si>
  <si>
    <t>TNKUPJ</t>
  </si>
  <si>
    <t>A12</t>
  </si>
  <si>
    <t>White cap SK</t>
  </si>
  <si>
    <t>M2 Macrophages (Anti-inflammatory)</t>
  </si>
  <si>
    <t>Scavenger receptor for Hemoglobin-Haptoglobin complexes; resolves inflammation.</t>
  </si>
  <si>
    <t>29F.1A12</t>
  </si>
  <si>
    <t>B1</t>
  </si>
  <si>
    <t>Activated/Exhausted T cells</t>
  </si>
  <si>
    <t>Programmed Death-1: Inhibitory receptor; "brake" on immune system (Check point).</t>
  </si>
  <si>
    <t>REA754</t>
  </si>
  <si>
    <t>B2</t>
  </si>
  <si>
    <t>Alveolar Macrophages, Dendritic Cells (DCs)</t>
  </si>
  <si>
    <t>Integrin alpha: Adhesion molecule; mediates binding to endothelium and complement.</t>
  </si>
  <si>
    <t>145-2C11</t>
  </si>
  <si>
    <t>B3</t>
  </si>
  <si>
    <t>T cells (all subsets)</t>
  </si>
  <si>
    <t>Signaling complex associated with the T Cell Receptor (TCR).</t>
  </si>
  <si>
    <t>M5/114.15.2</t>
  </si>
  <si>
    <t>B4</t>
  </si>
  <si>
    <t>APCs (DCs, B cells, Macrophages), Activated Epithelium</t>
  </si>
  <si>
    <t>MHC Class II: Presents extracellular antigens to CD4+ T cells.</t>
  </si>
  <si>
    <t>B5</t>
  </si>
  <si>
    <t>B6</t>
  </si>
  <si>
    <t>B7</t>
  </si>
  <si>
    <t>B8</t>
  </si>
  <si>
    <t>B9</t>
  </si>
  <si>
    <t>B10</t>
  </si>
  <si>
    <t>B11</t>
  </si>
  <si>
    <t>B12</t>
  </si>
  <si>
    <t>Orange cap SK</t>
  </si>
  <si>
    <t>C1</t>
  </si>
  <si>
    <t>C2</t>
  </si>
  <si>
    <t>eBioscience</t>
  </si>
  <si>
    <t>D7</t>
  </si>
  <si>
    <t>BioRad</t>
  </si>
  <si>
    <t>Big flask</t>
  </si>
  <si>
    <t>Inflammatory Monocytes</t>
  </si>
  <si>
    <t>GPI-anchored protein; marks monocytes recruited from bone marrow to lung.</t>
  </si>
  <si>
    <t>REA664</t>
  </si>
  <si>
    <t>Effector/Memory T cells, Cancer Stem Cells</t>
  </si>
  <si>
    <t>Hyaluronan receptor; mediates cell migration and homing to inflamed tissues.</t>
  </si>
  <si>
    <t>1A8</t>
  </si>
  <si>
    <t>Neutrophils</t>
  </si>
  <si>
    <t>GPI-anchored protein (component of Gr1); specific neutrophil marker.</t>
  </si>
  <si>
    <t>eBioV.7C7</t>
  </si>
  <si>
    <t>Capillary Endothelial cells</t>
  </si>
  <si>
    <t>Endomucin: Sialomucin inhibiting cell adhesion (prevents leukocyte sticking).</t>
  </si>
  <si>
    <t>TIM1</t>
  </si>
  <si>
    <t>REA692</t>
  </si>
  <si>
    <t>check if right clone</t>
  </si>
  <si>
    <t>Th2 cells, Damaged Epithelium, B-regs</t>
  </si>
  <si>
    <t>HAVCR1: Costimulatory molecule; regulates Th2 responses and allergy.</t>
  </si>
  <si>
    <t>Pax5</t>
  </si>
  <si>
    <t>Transcription factor essential for B cell lineage commitment.</t>
  </si>
  <si>
    <t>Blue cap SK</t>
  </si>
  <si>
    <t>Stem cells, Endothelium, Fibroblasts (inflammation)</t>
  </si>
  <si>
    <t>Ly6a: Marker of stemness and activation (often upregulated by IFNg in lung injury).</t>
  </si>
  <si>
    <t>MJ7/18</t>
  </si>
  <si>
    <t>Activated Endothelium, MSCs</t>
  </si>
  <si>
    <t>Endoglin: TGF-beta co-receptor; regulates angiogenesis and vascular remodeling.</t>
  </si>
  <si>
    <t>REA126</t>
  </si>
  <si>
    <t>works nicely in BM</t>
  </si>
  <si>
    <t>Macrophages (most mature tissue Macrophages)</t>
  </si>
  <si>
    <t>Emr1: G-protein coupled receptor involved in adhesion and induction of tolerance.</t>
  </si>
  <si>
    <t>30-H12</t>
  </si>
  <si>
    <t>T cells, ILCs, Fibroblasts, Endothelium</t>
  </si>
  <si>
    <t>Thy1.2: Glycoprotein involved in cell-cell interactions and T cell activation.</t>
  </si>
  <si>
    <t>30-F11</t>
  </si>
  <si>
    <t>All Leukocytes (Immune cells)</t>
  </si>
  <si>
    <t>PTPRC: Tyrosine phosphatase essential for T/B cell antigen receptor signaling.</t>
  </si>
  <si>
    <t>BIO RAD</t>
  </si>
  <si>
    <t>A3-1</t>
  </si>
  <si>
    <t>worked in lung</t>
  </si>
  <si>
    <t>Sytox</t>
  </si>
  <si>
    <t>Dead/Dying cells</t>
  </si>
  <si>
    <t>Viability Dye: Nucleic acid stain that only penetrates cells with compromised membranes.</t>
  </si>
  <si>
    <t>Hours</t>
  </si>
  <si>
    <t>Days</t>
  </si>
  <si>
    <t>Number of FOVs:</t>
  </si>
  <si>
    <t>Number of z stacks:</t>
  </si>
  <si>
    <t>(Define the number of tissue regions acquired)</t>
  </si>
  <si>
    <t>(Define number of positive and negative levels in z dimension)</t>
  </si>
  <si>
    <t>GFP</t>
  </si>
  <si>
    <t>Information critical to generate xml</t>
  </si>
  <si>
    <t>Additional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</si>
</sst>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8"/>
      <color theme="1"/>
      <name val="Aptos Narrow"/>
      <family val="2"/>
    </font>
    <font>
      <sz val="9"/>
      <color theme="1"/>
      <name val="Aptos Narrow"/>
      <family val="2"/>
    </font>
    <font>
      <sz val="8"/>
      <color theme="1"/>
      <name val="Calibri"/>
      <family val="2"/>
    </font>
    <font>
      <sz val="11"/>
      <color rgb="FFBFBFBF"/>
      <name val="Aptos Narrow"/>
      <family val="2"/>
    </font>
    <font>
      <b/>
      <sz val="11"/>
      <color theme="1"/>
      <name val="Aptos Narrow"/>
      <family val="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97132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C6C6C6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left"/>
    </xf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Protection="1">
      <protection locked="0"/>
    </xf>
    <xf numFmtId="3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4" fontId="2" fillId="2" borderId="2" xfId="0" applyNumberFormat="1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3" fontId="8" fillId="4" borderId="7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6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3" fontId="8" fillId="3" borderId="7" xfId="0" applyNumberFormat="1" applyFont="1" applyFill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</cellXfs>
  <cellStyles count="1">
    <cellStyle name="Standard" xfId="0" builtinId="0"/>
  </cellStyles>
  <dxfs count="11"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92"/>
  <sheetViews>
    <sheetView workbookViewId="0">
      <selection activeCell="B2" sqref="B2"/>
    </sheetView>
  </sheetViews>
  <sheetFormatPr baseColWidth="10" defaultColWidth="9" defaultRowHeight="15" x14ac:dyDescent="0.25"/>
  <cols>
    <col min="1" max="1" width="16.140625" bestFit="1" customWidth="1"/>
    <col min="2" max="2" width="16.140625" customWidth="1"/>
    <col min="3" max="3" width="50" bestFit="1" customWidth="1"/>
    <col min="4" max="5" width="13.5703125" bestFit="1" customWidth="1"/>
    <col min="6" max="6" width="34.5703125" bestFit="1" customWidth="1"/>
    <col min="7" max="7" width="44.5703125" bestFit="1" customWidth="1"/>
  </cols>
  <sheetData>
    <row r="1" spans="1:3" ht="18.75" customHeight="1" x14ac:dyDescent="0.25">
      <c r="A1" t="s">
        <v>204</v>
      </c>
      <c r="B1" s="9">
        <v>2</v>
      </c>
      <c r="C1" t="s">
        <v>206</v>
      </c>
    </row>
    <row r="2" spans="1:3" ht="18.75" customHeight="1" x14ac:dyDescent="0.25">
      <c r="A2" t="s">
        <v>205</v>
      </c>
      <c r="B2" s="9">
        <v>5</v>
      </c>
      <c r="C2" t="s">
        <v>207</v>
      </c>
    </row>
    <row r="3" spans="1:3" ht="18.75" customHeight="1" x14ac:dyDescent="0.25"/>
    <row r="4" spans="1:3" ht="18.75" customHeight="1" x14ac:dyDescent="0.25"/>
    <row r="5" spans="1:3" ht="18.75" customHeight="1" x14ac:dyDescent="0.25"/>
    <row r="6" spans="1:3" ht="18.75" customHeight="1" x14ac:dyDescent="0.25"/>
    <row r="7" spans="1:3" ht="18.75" customHeight="1" x14ac:dyDescent="0.25"/>
    <row r="8" spans="1:3" ht="18.75" customHeight="1" x14ac:dyDescent="0.25"/>
    <row r="9" spans="1:3" ht="18.75" customHeight="1" x14ac:dyDescent="0.25"/>
    <row r="10" spans="1:3" ht="18.75" customHeight="1" x14ac:dyDescent="0.25"/>
    <row r="11" spans="1:3" ht="18.75" customHeight="1" x14ac:dyDescent="0.25"/>
    <row r="12" spans="1:3" ht="18.75" customHeight="1" x14ac:dyDescent="0.25"/>
    <row r="13" spans="1:3" ht="18.75" customHeight="1" x14ac:dyDescent="0.25"/>
    <row r="14" spans="1:3" ht="18.75" customHeight="1" x14ac:dyDescent="0.25"/>
    <row r="15" spans="1:3" ht="18.75" customHeight="1" x14ac:dyDescent="0.25"/>
    <row r="16" spans="1:3" ht="18.75" customHeight="1" x14ac:dyDescent="0.25"/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18.75" customHeight="1" x14ac:dyDescent="0.25"/>
    <row r="29" ht="18.75" customHeight="1" x14ac:dyDescent="0.25"/>
    <row r="30" ht="18.75" customHeight="1" x14ac:dyDescent="0.25"/>
    <row r="31" ht="18.75" customHeight="1" x14ac:dyDescent="0.25"/>
    <row r="32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  <row r="40" ht="18.75" customHeight="1" x14ac:dyDescent="0.25"/>
    <row r="41" ht="18.75" customHeight="1" x14ac:dyDescent="0.25"/>
    <row r="42" ht="18.75" customHeight="1" x14ac:dyDescent="0.25"/>
    <row r="43" ht="18.75" customHeight="1" x14ac:dyDescent="0.25"/>
    <row r="44" ht="18.75" customHeight="1" x14ac:dyDescent="0.25"/>
    <row r="45" ht="18.75" customHeight="1" x14ac:dyDescent="0.25"/>
    <row r="46" ht="18.75" customHeight="1" x14ac:dyDescent="0.25"/>
    <row r="47" ht="18.75" customHeight="1" x14ac:dyDescent="0.25"/>
    <row r="48" ht="18.75" customHeight="1" x14ac:dyDescent="0.25"/>
    <row r="49" ht="18.75" customHeight="1" x14ac:dyDescent="0.25"/>
    <row r="50" ht="18.75" customHeight="1" x14ac:dyDescent="0.25"/>
    <row r="51" ht="18.75" customHeight="1" x14ac:dyDescent="0.25"/>
    <row r="52" ht="18.75" customHeight="1" x14ac:dyDescent="0.25"/>
    <row r="53" ht="18.75" customHeight="1" x14ac:dyDescent="0.25"/>
    <row r="54" ht="18.75" customHeight="1" x14ac:dyDescent="0.25"/>
    <row r="55" ht="18.75" customHeight="1" x14ac:dyDescent="0.25"/>
    <row r="56" ht="18.75" customHeight="1" x14ac:dyDescent="0.25"/>
    <row r="57" ht="18.75" customHeight="1" x14ac:dyDescent="0.25"/>
    <row r="58" ht="18.75" customHeight="1" x14ac:dyDescent="0.25"/>
    <row r="59" ht="18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  <row r="66" ht="18.75" customHeight="1" x14ac:dyDescent="0.25"/>
    <row r="67" ht="18.75" customHeight="1" x14ac:dyDescent="0.25"/>
    <row r="68" ht="18.75" customHeight="1" x14ac:dyDescent="0.25"/>
    <row r="69" ht="18.75" customHeight="1" x14ac:dyDescent="0.25"/>
    <row r="70" ht="18.75" customHeight="1" x14ac:dyDescent="0.25"/>
    <row r="71" ht="18.75" customHeight="1" x14ac:dyDescent="0.25"/>
    <row r="72" ht="18.75" customHeight="1" x14ac:dyDescent="0.25"/>
    <row r="73" ht="18.75" customHeight="1" x14ac:dyDescent="0.25"/>
    <row r="74" ht="18.75" customHeight="1" x14ac:dyDescent="0.25"/>
    <row r="75" ht="18.75" customHeight="1" x14ac:dyDescent="0.25"/>
    <row r="76" ht="18.75" customHeight="1" x14ac:dyDescent="0.25"/>
    <row r="77" ht="18.75" customHeight="1" x14ac:dyDescent="0.25"/>
    <row r="78" ht="18.75" customHeight="1" x14ac:dyDescent="0.25"/>
    <row r="79" ht="18.75" customHeight="1" x14ac:dyDescent="0.25"/>
    <row r="80" ht="18.75" customHeight="1" x14ac:dyDescent="0.25"/>
    <row r="81" ht="18.75" customHeight="1" x14ac:dyDescent="0.25"/>
    <row r="82" ht="18.75" customHeight="1" x14ac:dyDescent="0.25"/>
    <row r="83" ht="18.75" customHeight="1" x14ac:dyDescent="0.25"/>
    <row r="84" ht="18.75" customHeight="1" x14ac:dyDescent="0.25"/>
    <row r="85" ht="18.75" customHeight="1" x14ac:dyDescent="0.25"/>
    <row r="86" ht="18.75" customHeight="1" x14ac:dyDescent="0.25"/>
    <row r="87" ht="18.75" customHeight="1" x14ac:dyDescent="0.25"/>
    <row r="88" ht="18.75" customHeight="1" x14ac:dyDescent="0.25"/>
    <row r="89" ht="18.75" customHeight="1" x14ac:dyDescent="0.25"/>
    <row r="90" ht="18.75" customHeight="1" x14ac:dyDescent="0.25"/>
    <row r="91" ht="18.75" customHeight="1" x14ac:dyDescent="0.25"/>
    <row r="92" ht="18.75" customHeight="1" x14ac:dyDescent="0.25"/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O48"/>
  <sheetViews>
    <sheetView tabSelected="1" workbookViewId="0">
      <selection activeCell="H34" sqref="H34"/>
    </sheetView>
  </sheetViews>
  <sheetFormatPr baseColWidth="10" defaultColWidth="9" defaultRowHeight="15" x14ac:dyDescent="0.25"/>
  <cols>
    <col min="1" max="1" width="5.5703125" style="27" bestFit="1" customWidth="1"/>
    <col min="2" max="2" width="12.140625" style="28" bestFit="1" customWidth="1"/>
    <col min="3" max="3" width="5" style="28" bestFit="1" customWidth="1"/>
    <col min="4" max="4" width="8.7109375" style="28" bestFit="1" customWidth="1"/>
    <col min="5" max="5" width="7.85546875" style="29" bestFit="1" customWidth="1"/>
    <col min="6" max="6" width="4.28515625" style="30" bestFit="1" customWidth="1"/>
    <col min="7" max="7" width="7.5703125" style="30" bestFit="1" customWidth="1"/>
    <col min="8" max="8" width="13.5703125" style="31" bestFit="1" customWidth="1"/>
    <col min="9" max="9" width="13.5703125" style="30" bestFit="1" customWidth="1"/>
    <col min="10" max="10" width="11" style="27" bestFit="1" customWidth="1"/>
    <col min="11" max="11" width="16.42578125" style="28" bestFit="1" customWidth="1"/>
    <col min="12" max="12" width="11.5703125" style="28" bestFit="1" customWidth="1"/>
    <col min="13" max="13" width="14.5703125" style="1" bestFit="1" customWidth="1"/>
    <col min="14" max="14" width="40" style="1" bestFit="1" customWidth="1"/>
    <col min="15" max="15" width="65.5703125" style="1" bestFit="1" customWidth="1"/>
  </cols>
  <sheetData>
    <row r="1" spans="1:15" x14ac:dyDescent="0.25">
      <c r="A1" s="46" t="s">
        <v>209</v>
      </c>
      <c r="B1" s="46"/>
      <c r="C1" s="46"/>
      <c r="D1" s="46"/>
      <c r="E1" s="46"/>
      <c r="F1" s="46"/>
      <c r="G1" s="46"/>
      <c r="H1" s="46"/>
      <c r="I1" s="46"/>
      <c r="J1" s="34" t="s">
        <v>210</v>
      </c>
      <c r="K1" s="34"/>
      <c r="L1" s="34"/>
      <c r="M1" s="34"/>
      <c r="N1" s="34"/>
      <c r="O1" s="34"/>
    </row>
    <row r="2" spans="1:15" ht="60" x14ac:dyDescent="0.25">
      <c r="A2" s="10"/>
      <c r="B2" s="11" t="s">
        <v>31</v>
      </c>
      <c r="C2" s="11" t="s">
        <v>32</v>
      </c>
      <c r="D2" s="11" t="s">
        <v>35</v>
      </c>
      <c r="E2" s="12" t="s">
        <v>36</v>
      </c>
      <c r="F2" s="13" t="s">
        <v>37</v>
      </c>
      <c r="G2" s="14" t="s">
        <v>38</v>
      </c>
      <c r="H2" s="15" t="s">
        <v>41</v>
      </c>
      <c r="I2" s="14" t="s">
        <v>42</v>
      </c>
      <c r="J2" s="10" t="s">
        <v>40</v>
      </c>
      <c r="K2" s="11" t="s">
        <v>33</v>
      </c>
      <c r="L2" s="11" t="s">
        <v>34</v>
      </c>
      <c r="M2" s="2" t="s">
        <v>39</v>
      </c>
      <c r="N2" s="2" t="s">
        <v>43</v>
      </c>
      <c r="O2" s="2" t="s">
        <v>44</v>
      </c>
    </row>
    <row r="3" spans="1:15" ht="18.75" customHeight="1" x14ac:dyDescent="0.25">
      <c r="A3" s="38">
        <v>1</v>
      </c>
      <c r="B3" s="11" t="s">
        <v>45</v>
      </c>
      <c r="C3" s="11" t="s">
        <v>208</v>
      </c>
      <c r="D3" s="35" t="s">
        <v>49</v>
      </c>
      <c r="E3" s="12">
        <v>10</v>
      </c>
      <c r="F3" s="41">
        <f>60-G5</f>
        <v>60</v>
      </c>
      <c r="G3" s="14"/>
      <c r="H3" s="38">
        <v>900</v>
      </c>
      <c r="I3" s="16">
        <v>900</v>
      </c>
      <c r="J3" s="10"/>
      <c r="K3" s="11"/>
      <c r="L3" s="11"/>
      <c r="M3" s="2"/>
      <c r="N3" s="2"/>
      <c r="O3" s="2"/>
    </row>
    <row r="4" spans="1:15" ht="18.75" customHeight="1" x14ac:dyDescent="0.25">
      <c r="A4" s="44"/>
      <c r="B4" s="11" t="s">
        <v>45</v>
      </c>
      <c r="C4" s="11" t="s">
        <v>47</v>
      </c>
      <c r="D4" s="36"/>
      <c r="E4" s="12">
        <v>10</v>
      </c>
      <c r="F4" s="42"/>
      <c r="G4" s="14"/>
      <c r="H4" s="39"/>
      <c r="I4" s="16">
        <v>600</v>
      </c>
      <c r="J4" s="10"/>
      <c r="K4" s="11"/>
      <c r="L4" s="11"/>
      <c r="M4" s="2"/>
      <c r="N4" s="2"/>
      <c r="O4" s="2"/>
    </row>
    <row r="5" spans="1:15" ht="18.75" customHeight="1" x14ac:dyDescent="0.25">
      <c r="A5" s="44"/>
      <c r="B5" s="11" t="s">
        <v>45</v>
      </c>
      <c r="C5" s="11" t="s">
        <v>48</v>
      </c>
      <c r="D5" s="36"/>
      <c r="E5" s="12">
        <v>10</v>
      </c>
      <c r="F5" s="42"/>
      <c r="G5" s="13"/>
      <c r="H5" s="39"/>
      <c r="I5" s="10">
        <v>0</v>
      </c>
      <c r="J5" s="10"/>
      <c r="K5" s="11"/>
      <c r="L5" s="11"/>
      <c r="M5" s="3"/>
      <c r="N5" s="4"/>
      <c r="O5" s="4"/>
    </row>
    <row r="6" spans="1:15" ht="18.75" customHeight="1" x14ac:dyDescent="0.25">
      <c r="A6" s="45"/>
      <c r="B6" s="11" t="s">
        <v>45</v>
      </c>
      <c r="C6" s="11" t="s">
        <v>50</v>
      </c>
      <c r="D6" s="37"/>
      <c r="E6" s="12">
        <v>10</v>
      </c>
      <c r="F6" s="43"/>
      <c r="G6" s="13"/>
      <c r="H6" s="40"/>
      <c r="I6" s="10">
        <v>0</v>
      </c>
      <c r="J6" s="10"/>
      <c r="K6" s="11"/>
      <c r="L6" s="11"/>
      <c r="M6" s="3"/>
      <c r="N6" s="4"/>
      <c r="O6" s="4"/>
    </row>
    <row r="7" spans="1:15" ht="18.75" customHeight="1" x14ac:dyDescent="0.25">
      <c r="A7" s="10">
        <v>2</v>
      </c>
      <c r="B7" s="17" t="s">
        <v>12</v>
      </c>
      <c r="C7" s="11" t="s">
        <v>46</v>
      </c>
      <c r="D7" s="11" t="s">
        <v>53</v>
      </c>
      <c r="E7" s="12">
        <v>50</v>
      </c>
      <c r="F7" s="13">
        <f t="shared" ref="F7" si="0">60-G7</f>
        <v>57.6</v>
      </c>
      <c r="G7" s="13">
        <f t="shared" ref="G7" si="1">2*(60/E7)</f>
        <v>2.4</v>
      </c>
      <c r="H7" s="10">
        <v>3000</v>
      </c>
      <c r="I7" s="10">
        <v>300</v>
      </c>
      <c r="J7" s="10"/>
      <c r="K7" s="11" t="s">
        <v>51</v>
      </c>
      <c r="L7" s="11" t="s">
        <v>116</v>
      </c>
      <c r="M7" s="3"/>
      <c r="N7" s="5" t="s">
        <v>118</v>
      </c>
      <c r="O7" s="5" t="s">
        <v>119</v>
      </c>
    </row>
    <row r="8" spans="1:15" ht="18.75" customHeight="1" x14ac:dyDescent="0.25">
      <c r="A8" s="38">
        <v>3</v>
      </c>
      <c r="B8" s="11" t="s">
        <v>6</v>
      </c>
      <c r="C8" s="11" t="s">
        <v>46</v>
      </c>
      <c r="D8" s="35" t="s">
        <v>69</v>
      </c>
      <c r="E8" s="12">
        <v>50</v>
      </c>
      <c r="F8" s="41">
        <f>60-G8-G9-G10-G11</f>
        <v>43.2</v>
      </c>
      <c r="G8" s="13">
        <f>2*(60/E8)</f>
        <v>2.4</v>
      </c>
      <c r="H8" s="38">
        <v>3300</v>
      </c>
      <c r="I8" s="16">
        <v>300</v>
      </c>
      <c r="J8" s="10"/>
      <c r="K8" s="11" t="s">
        <v>51</v>
      </c>
      <c r="L8" s="11" t="s">
        <v>52</v>
      </c>
      <c r="M8" s="3" t="s">
        <v>54</v>
      </c>
      <c r="N8" s="5" t="s">
        <v>55</v>
      </c>
      <c r="O8" s="5" t="s">
        <v>56</v>
      </c>
    </row>
    <row r="9" spans="1:15" ht="18.75" customHeight="1" x14ac:dyDescent="0.25">
      <c r="A9" s="44"/>
      <c r="B9" s="11" t="s">
        <v>57</v>
      </c>
      <c r="C9" s="11" t="s">
        <v>47</v>
      </c>
      <c r="D9" s="47"/>
      <c r="E9" s="12">
        <v>50</v>
      </c>
      <c r="F9" s="42"/>
      <c r="G9" s="13">
        <f>2*(60/E9)</f>
        <v>2.4</v>
      </c>
      <c r="H9" s="39"/>
      <c r="I9" s="16">
        <v>300</v>
      </c>
      <c r="J9" s="10"/>
      <c r="K9" s="11" t="s">
        <v>58</v>
      </c>
      <c r="L9" s="11" t="s">
        <v>59</v>
      </c>
      <c r="M9" s="3" t="s">
        <v>60</v>
      </c>
      <c r="N9" s="5" t="s">
        <v>61</v>
      </c>
      <c r="O9" s="5" t="s">
        <v>62</v>
      </c>
    </row>
    <row r="10" spans="1:15" ht="18.75" customHeight="1" x14ac:dyDescent="0.25">
      <c r="A10" s="44"/>
      <c r="B10" s="11" t="s">
        <v>2</v>
      </c>
      <c r="C10" s="11" t="s">
        <v>48</v>
      </c>
      <c r="D10" s="47"/>
      <c r="E10" s="12">
        <v>10</v>
      </c>
      <c r="F10" s="42"/>
      <c r="G10" s="13">
        <f>2*(60/E10)</f>
        <v>12</v>
      </c>
      <c r="H10" s="39"/>
      <c r="I10" s="10">
        <v>300</v>
      </c>
      <c r="J10" s="10"/>
      <c r="K10" s="11" t="s">
        <v>63</v>
      </c>
      <c r="L10" s="11"/>
      <c r="M10" s="3"/>
      <c r="N10" s="5" t="s">
        <v>64</v>
      </c>
      <c r="O10" s="5" t="s">
        <v>65</v>
      </c>
    </row>
    <row r="11" spans="1:15" ht="18.75" customHeight="1" x14ac:dyDescent="0.25">
      <c r="A11" s="45"/>
      <c r="B11" s="11" t="s">
        <v>66</v>
      </c>
      <c r="C11" s="11" t="s">
        <v>50</v>
      </c>
      <c r="D11" s="48"/>
      <c r="E11" s="12">
        <v>10000</v>
      </c>
      <c r="F11" s="43"/>
      <c r="G11" s="13">
        <v>0</v>
      </c>
      <c r="H11" s="40"/>
      <c r="I11" s="16">
        <v>1</v>
      </c>
      <c r="J11" s="10"/>
      <c r="K11" s="11"/>
      <c r="L11" s="11"/>
      <c r="M11" s="3"/>
      <c r="N11" s="4"/>
      <c r="O11" s="4"/>
    </row>
    <row r="12" spans="1:15" ht="18.75" customHeight="1" x14ac:dyDescent="0.25">
      <c r="A12" s="38">
        <v>4</v>
      </c>
      <c r="B12" s="11" t="s">
        <v>11</v>
      </c>
      <c r="C12" s="11" t="s">
        <v>46</v>
      </c>
      <c r="D12" s="35" t="s">
        <v>82</v>
      </c>
      <c r="E12" s="12">
        <v>50</v>
      </c>
      <c r="F12" s="41">
        <f>60-G12-G13-G14</f>
        <v>54.900000000000006</v>
      </c>
      <c r="G12" s="13">
        <f t="shared" ref="G12:G29" si="2">2*(60/E12)</f>
        <v>2.4</v>
      </c>
      <c r="H12" s="38">
        <v>3300</v>
      </c>
      <c r="I12" s="16">
        <v>300</v>
      </c>
      <c r="J12" s="10"/>
      <c r="K12" s="11" t="s">
        <v>67</v>
      </c>
      <c r="L12" s="11" t="s">
        <v>68</v>
      </c>
      <c r="M12" s="3"/>
      <c r="N12" s="5" t="s">
        <v>70</v>
      </c>
      <c r="O12" s="5" t="s">
        <v>71</v>
      </c>
    </row>
    <row r="13" spans="1:15" ht="18.75" customHeight="1" x14ac:dyDescent="0.25">
      <c r="A13" s="44"/>
      <c r="B13" s="17" t="s">
        <v>4</v>
      </c>
      <c r="C13" s="11" t="s">
        <v>72</v>
      </c>
      <c r="D13" s="47"/>
      <c r="E13" s="12">
        <v>400</v>
      </c>
      <c r="F13" s="42"/>
      <c r="G13" s="13">
        <f t="shared" si="2"/>
        <v>0.3</v>
      </c>
      <c r="H13" s="39"/>
      <c r="I13" s="10">
        <v>600</v>
      </c>
      <c r="J13" s="10"/>
      <c r="K13" s="11" t="s">
        <v>73</v>
      </c>
      <c r="L13" s="11" t="s">
        <v>74</v>
      </c>
      <c r="M13" s="3" t="s">
        <v>60</v>
      </c>
      <c r="N13" s="5" t="s">
        <v>1</v>
      </c>
      <c r="O13" s="5" t="s">
        <v>75</v>
      </c>
    </row>
    <row r="14" spans="1:15" ht="18.75" customHeight="1" x14ac:dyDescent="0.25">
      <c r="A14" s="45"/>
      <c r="B14" s="11" t="s">
        <v>10</v>
      </c>
      <c r="C14" s="11" t="s">
        <v>76</v>
      </c>
      <c r="D14" s="48"/>
      <c r="E14" s="12">
        <v>50</v>
      </c>
      <c r="F14" s="43"/>
      <c r="G14" s="13">
        <f t="shared" si="2"/>
        <v>2.4</v>
      </c>
      <c r="H14" s="40"/>
      <c r="I14" s="16">
        <v>300</v>
      </c>
      <c r="J14" s="10"/>
      <c r="K14" s="11" t="s">
        <v>51</v>
      </c>
      <c r="L14" s="11" t="s">
        <v>77</v>
      </c>
      <c r="M14" s="6"/>
      <c r="N14" s="5" t="s">
        <v>78</v>
      </c>
      <c r="O14" s="5" t="s">
        <v>79</v>
      </c>
    </row>
    <row r="15" spans="1:15" ht="18.75" customHeight="1" x14ac:dyDescent="0.25">
      <c r="A15" s="10">
        <v>5</v>
      </c>
      <c r="B15" s="17" t="s">
        <v>16</v>
      </c>
      <c r="C15" s="11" t="s">
        <v>46</v>
      </c>
      <c r="D15" s="11" t="s">
        <v>90</v>
      </c>
      <c r="E15" s="12">
        <v>50</v>
      </c>
      <c r="F15" s="13">
        <f t="shared" ref="F15" si="3">60-G15</f>
        <v>57.6</v>
      </c>
      <c r="G15" s="13">
        <f t="shared" ref="G15" si="4">2*(60/E15)</f>
        <v>2.4</v>
      </c>
      <c r="H15" s="10">
        <v>900</v>
      </c>
      <c r="I15" s="10">
        <v>300</v>
      </c>
      <c r="J15" s="10"/>
      <c r="K15" s="11" t="s">
        <v>51</v>
      </c>
      <c r="L15" s="11" t="s">
        <v>107</v>
      </c>
      <c r="M15" s="3" t="s">
        <v>109</v>
      </c>
      <c r="N15" s="5" t="s">
        <v>110</v>
      </c>
      <c r="O15" s="5" t="s">
        <v>111</v>
      </c>
    </row>
    <row r="16" spans="1:15" ht="18.75" customHeight="1" x14ac:dyDescent="0.25">
      <c r="A16" s="38">
        <v>6</v>
      </c>
      <c r="B16" s="11" t="s">
        <v>7</v>
      </c>
      <c r="C16" s="11" t="s">
        <v>46</v>
      </c>
      <c r="D16" s="35" t="s">
        <v>96</v>
      </c>
      <c r="E16" s="12">
        <v>100</v>
      </c>
      <c r="F16" s="41">
        <f>60-G16-G17</f>
        <v>56.4</v>
      </c>
      <c r="G16" s="13">
        <f t="shared" si="2"/>
        <v>1.2</v>
      </c>
      <c r="H16" s="38">
        <v>3300</v>
      </c>
      <c r="I16" s="10">
        <v>600</v>
      </c>
      <c r="J16" s="10"/>
      <c r="K16" s="11" t="s">
        <v>80</v>
      </c>
      <c r="L16" s="11" t="s">
        <v>81</v>
      </c>
      <c r="M16" s="3"/>
      <c r="N16" s="5" t="s">
        <v>83</v>
      </c>
      <c r="O16" s="5" t="s">
        <v>84</v>
      </c>
    </row>
    <row r="17" spans="1:15" ht="18.75" customHeight="1" x14ac:dyDescent="0.25">
      <c r="A17" s="45"/>
      <c r="B17" s="17" t="s">
        <v>26</v>
      </c>
      <c r="C17" s="11" t="s">
        <v>72</v>
      </c>
      <c r="D17" s="37"/>
      <c r="E17" s="12">
        <v>50</v>
      </c>
      <c r="F17" s="40"/>
      <c r="G17" s="13">
        <f t="shared" si="2"/>
        <v>2.4</v>
      </c>
      <c r="H17" s="40"/>
      <c r="I17" s="10">
        <v>600</v>
      </c>
      <c r="J17" s="10"/>
      <c r="K17" s="11" t="s">
        <v>85</v>
      </c>
      <c r="L17" s="11"/>
      <c r="M17" s="3" t="s">
        <v>86</v>
      </c>
      <c r="N17" s="5" t="s">
        <v>87</v>
      </c>
      <c r="O17" s="5" t="s">
        <v>88</v>
      </c>
    </row>
    <row r="18" spans="1:15" ht="18.75" customHeight="1" x14ac:dyDescent="0.25">
      <c r="A18" s="38">
        <v>7</v>
      </c>
      <c r="B18" s="11" t="s">
        <v>28</v>
      </c>
      <c r="C18" s="11" t="s">
        <v>46</v>
      </c>
      <c r="D18" s="35" t="s">
        <v>104</v>
      </c>
      <c r="E18" s="12">
        <v>100</v>
      </c>
      <c r="F18" s="41">
        <f>60-G18-G19</f>
        <v>58.199999999999996</v>
      </c>
      <c r="G18" s="13">
        <f t="shared" si="2"/>
        <v>1.2</v>
      </c>
      <c r="H18" s="38">
        <v>3300</v>
      </c>
      <c r="I18" s="16">
        <v>300</v>
      </c>
      <c r="J18" s="10"/>
      <c r="K18" s="11" t="s">
        <v>80</v>
      </c>
      <c r="L18" s="11" t="s">
        <v>89</v>
      </c>
      <c r="M18" s="3"/>
      <c r="N18" s="5" t="s">
        <v>91</v>
      </c>
      <c r="O18" s="5" t="s">
        <v>92</v>
      </c>
    </row>
    <row r="19" spans="1:15" ht="18.75" customHeight="1" x14ac:dyDescent="0.25">
      <c r="A19" s="45"/>
      <c r="B19" s="17" t="s">
        <v>21</v>
      </c>
      <c r="C19" s="11" t="s">
        <v>47</v>
      </c>
      <c r="D19" s="37"/>
      <c r="E19" s="12">
        <v>200</v>
      </c>
      <c r="F19" s="40"/>
      <c r="G19" s="13">
        <f t="shared" si="2"/>
        <v>0.6</v>
      </c>
      <c r="H19" s="40"/>
      <c r="I19" s="10">
        <v>600</v>
      </c>
      <c r="J19" s="10"/>
      <c r="K19" s="11" t="s">
        <v>85</v>
      </c>
      <c r="L19" s="11"/>
      <c r="M19" s="3"/>
      <c r="N19" s="5" t="s">
        <v>93</v>
      </c>
      <c r="O19" s="5" t="s">
        <v>94</v>
      </c>
    </row>
    <row r="20" spans="1:15" ht="18.75" customHeight="1" x14ac:dyDescent="0.25">
      <c r="A20" s="38">
        <v>8</v>
      </c>
      <c r="B20" s="11" t="s">
        <v>3</v>
      </c>
      <c r="C20" s="11" t="s">
        <v>46</v>
      </c>
      <c r="D20" s="35" t="s">
        <v>108</v>
      </c>
      <c r="E20" s="12">
        <v>200</v>
      </c>
      <c r="F20" s="41">
        <f>60-G20-G21</f>
        <v>58.199999999999996</v>
      </c>
      <c r="G20" s="13">
        <f t="shared" si="2"/>
        <v>0.6</v>
      </c>
      <c r="H20" s="38">
        <v>3300</v>
      </c>
      <c r="I20" s="16">
        <v>600</v>
      </c>
      <c r="J20" s="10"/>
      <c r="K20" s="11" t="s">
        <v>67</v>
      </c>
      <c r="L20" s="11" t="s">
        <v>95</v>
      </c>
      <c r="M20" s="3"/>
      <c r="N20" s="5" t="s">
        <v>97</v>
      </c>
      <c r="O20" s="5" t="s">
        <v>98</v>
      </c>
    </row>
    <row r="21" spans="1:15" ht="18.75" customHeight="1" x14ac:dyDescent="0.25">
      <c r="A21" s="45"/>
      <c r="B21" s="17" t="s">
        <v>25</v>
      </c>
      <c r="C21" s="11" t="s">
        <v>47</v>
      </c>
      <c r="D21" s="37"/>
      <c r="E21" s="12">
        <v>100</v>
      </c>
      <c r="F21" s="40"/>
      <c r="G21" s="13">
        <f t="shared" si="2"/>
        <v>1.2</v>
      </c>
      <c r="H21" s="40"/>
      <c r="I21" s="10">
        <v>900</v>
      </c>
      <c r="J21" s="10"/>
      <c r="K21" s="11" t="s">
        <v>85</v>
      </c>
      <c r="L21" s="11" t="s">
        <v>99</v>
      </c>
      <c r="M21" s="3"/>
      <c r="N21" s="5" t="s">
        <v>100</v>
      </c>
      <c r="O21" s="5" t="s">
        <v>101</v>
      </c>
    </row>
    <row r="22" spans="1:15" ht="18.75" customHeight="1" x14ac:dyDescent="0.25">
      <c r="A22" s="10">
        <v>9</v>
      </c>
      <c r="B22" s="11" t="s">
        <v>9</v>
      </c>
      <c r="C22" s="11" t="s">
        <v>46</v>
      </c>
      <c r="D22" s="11" t="s">
        <v>112</v>
      </c>
      <c r="E22" s="12">
        <v>50</v>
      </c>
      <c r="F22" s="13">
        <f t="shared" ref="F22:F35" si="5">60-G22</f>
        <v>57.6</v>
      </c>
      <c r="G22" s="13">
        <f t="shared" si="2"/>
        <v>2.4</v>
      </c>
      <c r="H22" s="10">
        <v>3300</v>
      </c>
      <c r="I22" s="16">
        <v>300</v>
      </c>
      <c r="J22" s="10"/>
      <c r="K22" s="11" t="s">
        <v>102</v>
      </c>
      <c r="L22" s="11" t="s">
        <v>103</v>
      </c>
      <c r="M22" s="3"/>
      <c r="N22" s="5" t="s">
        <v>105</v>
      </c>
      <c r="O22" s="5" t="s">
        <v>106</v>
      </c>
    </row>
    <row r="23" spans="1:15" ht="18.75" customHeight="1" x14ac:dyDescent="0.25">
      <c r="A23" s="10">
        <v>10</v>
      </c>
      <c r="B23" s="17" t="s">
        <v>22</v>
      </c>
      <c r="C23" s="11" t="s">
        <v>46</v>
      </c>
      <c r="D23" s="11" t="s">
        <v>117</v>
      </c>
      <c r="E23" s="12">
        <v>10</v>
      </c>
      <c r="F23" s="13">
        <f t="shared" si="5"/>
        <v>48</v>
      </c>
      <c r="G23" s="13">
        <f t="shared" si="2"/>
        <v>12</v>
      </c>
      <c r="H23" s="10">
        <v>900</v>
      </c>
      <c r="I23" s="10">
        <v>600</v>
      </c>
      <c r="J23" s="10"/>
      <c r="K23" s="11" t="s">
        <v>63</v>
      </c>
      <c r="L23" s="11"/>
      <c r="M23" s="3" t="s">
        <v>113</v>
      </c>
      <c r="N23" s="5" t="s">
        <v>114</v>
      </c>
      <c r="O23" s="5" t="s">
        <v>115</v>
      </c>
    </row>
    <row r="24" spans="1:15" ht="18.75" customHeight="1" x14ac:dyDescent="0.25">
      <c r="A24" s="10">
        <v>11</v>
      </c>
      <c r="B24" s="17" t="s">
        <v>13</v>
      </c>
      <c r="C24" s="11" t="s">
        <v>46</v>
      </c>
      <c r="D24" s="11" t="s">
        <v>122</v>
      </c>
      <c r="E24" s="12">
        <v>50</v>
      </c>
      <c r="F24" s="13">
        <f t="shared" si="5"/>
        <v>57.6</v>
      </c>
      <c r="G24" s="13">
        <f t="shared" si="2"/>
        <v>2.4</v>
      </c>
      <c r="H24" s="10">
        <v>3300</v>
      </c>
      <c r="I24" s="10">
        <v>300</v>
      </c>
      <c r="J24" s="10"/>
      <c r="K24" s="11" t="s">
        <v>120</v>
      </c>
      <c r="L24" s="11" t="s">
        <v>121</v>
      </c>
      <c r="M24" s="3"/>
      <c r="N24" s="5" t="s">
        <v>123</v>
      </c>
      <c r="O24" s="5" t="s">
        <v>124</v>
      </c>
    </row>
    <row r="25" spans="1:15" ht="18.75" customHeight="1" x14ac:dyDescent="0.25">
      <c r="A25" s="10">
        <v>12</v>
      </c>
      <c r="B25" s="17" t="s">
        <v>17</v>
      </c>
      <c r="C25" s="11" t="s">
        <v>46</v>
      </c>
      <c r="D25" s="11" t="s">
        <v>127</v>
      </c>
      <c r="E25" s="12">
        <v>200</v>
      </c>
      <c r="F25" s="13">
        <f t="shared" si="5"/>
        <v>59.4</v>
      </c>
      <c r="G25" s="13">
        <f t="shared" si="2"/>
        <v>0.6</v>
      </c>
      <c r="H25" s="10">
        <v>3300</v>
      </c>
      <c r="I25" s="10">
        <v>300</v>
      </c>
      <c r="J25" s="10"/>
      <c r="K25" s="11" t="s">
        <v>125</v>
      </c>
      <c r="L25" s="11" t="s">
        <v>126</v>
      </c>
      <c r="M25" s="3" t="s">
        <v>128</v>
      </c>
      <c r="N25" s="5" t="s">
        <v>129</v>
      </c>
      <c r="O25" s="5" t="s">
        <v>130</v>
      </c>
    </row>
    <row r="26" spans="1:15" ht="18.75" customHeight="1" x14ac:dyDescent="0.25">
      <c r="A26" s="10">
        <v>13</v>
      </c>
      <c r="B26" s="17" t="s">
        <v>30</v>
      </c>
      <c r="C26" s="11" t="s">
        <v>46</v>
      </c>
      <c r="D26" s="11" t="s">
        <v>132</v>
      </c>
      <c r="E26" s="12">
        <v>50</v>
      </c>
      <c r="F26" s="13">
        <f t="shared" si="5"/>
        <v>57.6</v>
      </c>
      <c r="G26" s="13">
        <f t="shared" si="2"/>
        <v>2.4</v>
      </c>
      <c r="H26" s="10">
        <v>3300</v>
      </c>
      <c r="I26" s="10">
        <v>300</v>
      </c>
      <c r="J26" s="10"/>
      <c r="K26" s="11" t="s">
        <v>51</v>
      </c>
      <c r="L26" s="11" t="s">
        <v>131</v>
      </c>
      <c r="M26" s="3"/>
      <c r="N26" s="5" t="s">
        <v>133</v>
      </c>
      <c r="O26" s="5" t="s">
        <v>134</v>
      </c>
    </row>
    <row r="27" spans="1:15" ht="18.75" customHeight="1" x14ac:dyDescent="0.25">
      <c r="A27" s="10">
        <v>14</v>
      </c>
      <c r="B27" s="11" t="s">
        <v>15</v>
      </c>
      <c r="C27" s="11" t="s">
        <v>46</v>
      </c>
      <c r="D27" s="11" t="s">
        <v>136</v>
      </c>
      <c r="E27" s="12">
        <v>50</v>
      </c>
      <c r="F27" s="13">
        <f t="shared" si="5"/>
        <v>57.6</v>
      </c>
      <c r="G27" s="13">
        <f t="shared" si="2"/>
        <v>2.4</v>
      </c>
      <c r="H27" s="10">
        <v>3300</v>
      </c>
      <c r="I27" s="16">
        <v>300</v>
      </c>
      <c r="J27" s="10"/>
      <c r="K27" s="11" t="s">
        <v>63</v>
      </c>
      <c r="L27" s="11" t="s">
        <v>135</v>
      </c>
      <c r="M27" s="3"/>
      <c r="N27" s="5" t="s">
        <v>137</v>
      </c>
      <c r="O27" s="5" t="s">
        <v>138</v>
      </c>
    </row>
    <row r="28" spans="1:15" ht="18.75" customHeight="1" x14ac:dyDescent="0.25">
      <c r="A28" s="10">
        <v>15</v>
      </c>
      <c r="B28" s="11" t="s">
        <v>5</v>
      </c>
      <c r="C28" s="11" t="s">
        <v>46</v>
      </c>
      <c r="D28" s="11" t="s">
        <v>140</v>
      </c>
      <c r="E28" s="12">
        <v>50</v>
      </c>
      <c r="F28" s="13">
        <f t="shared" si="5"/>
        <v>57.6</v>
      </c>
      <c r="G28" s="13">
        <f t="shared" si="2"/>
        <v>2.4</v>
      </c>
      <c r="H28" s="10">
        <v>3300</v>
      </c>
      <c r="I28" s="16">
        <v>300</v>
      </c>
      <c r="J28" s="10"/>
      <c r="K28" s="11" t="s">
        <v>80</v>
      </c>
      <c r="L28" s="11" t="s">
        <v>139</v>
      </c>
      <c r="M28" s="3"/>
      <c r="N28" s="5" t="s">
        <v>141</v>
      </c>
      <c r="O28" s="5" t="s">
        <v>142</v>
      </c>
    </row>
    <row r="29" spans="1:15" ht="18.75" customHeight="1" x14ac:dyDescent="0.25">
      <c r="A29" s="10">
        <v>16</v>
      </c>
      <c r="B29" s="11" t="s">
        <v>27</v>
      </c>
      <c r="C29" s="11" t="s">
        <v>46</v>
      </c>
      <c r="D29" s="11" t="s">
        <v>144</v>
      </c>
      <c r="E29" s="12">
        <v>100</v>
      </c>
      <c r="F29" s="13">
        <f t="shared" si="5"/>
        <v>58.8</v>
      </c>
      <c r="G29" s="13">
        <f t="shared" si="2"/>
        <v>1.2</v>
      </c>
      <c r="H29" s="10">
        <v>2700</v>
      </c>
      <c r="I29" s="16">
        <v>600</v>
      </c>
      <c r="J29" s="10"/>
      <c r="K29" s="11" t="s">
        <v>51</v>
      </c>
      <c r="L29" s="11" t="s">
        <v>143</v>
      </c>
      <c r="M29" s="3" t="s">
        <v>54</v>
      </c>
      <c r="N29" s="5" t="s">
        <v>145</v>
      </c>
      <c r="O29" s="5" t="s">
        <v>146</v>
      </c>
    </row>
    <row r="30" spans="1:15" ht="18.75" customHeight="1" x14ac:dyDescent="0.25">
      <c r="A30" s="10">
        <v>17</v>
      </c>
      <c r="B30" s="17" t="s">
        <v>18</v>
      </c>
      <c r="C30" s="11" t="s">
        <v>46</v>
      </c>
      <c r="D30" s="11" t="s">
        <v>147</v>
      </c>
      <c r="E30" s="12">
        <v>20</v>
      </c>
      <c r="F30" s="13">
        <f t="shared" si="5"/>
        <v>54</v>
      </c>
      <c r="G30" s="13">
        <f t="shared" ref="G30:G42" si="6">2*(60/E30)</f>
        <v>6</v>
      </c>
      <c r="H30" s="10">
        <v>2700</v>
      </c>
      <c r="I30" s="10">
        <v>600</v>
      </c>
      <c r="J30" s="10"/>
      <c r="K30" s="11" t="s">
        <v>160</v>
      </c>
      <c r="L30" s="11"/>
      <c r="M30" s="3" t="s">
        <v>161</v>
      </c>
      <c r="N30" s="5" t="s">
        <v>162</v>
      </c>
      <c r="O30" s="5" t="s">
        <v>163</v>
      </c>
    </row>
    <row r="31" spans="1:15" ht="18.75" customHeight="1" x14ac:dyDescent="0.25">
      <c r="A31" s="10">
        <v>18</v>
      </c>
      <c r="B31" s="11" t="s">
        <v>29</v>
      </c>
      <c r="C31" s="11" t="s">
        <v>46</v>
      </c>
      <c r="D31" s="11" t="s">
        <v>148</v>
      </c>
      <c r="E31" s="12">
        <v>50</v>
      </c>
      <c r="F31" s="13">
        <f t="shared" si="5"/>
        <v>57.6</v>
      </c>
      <c r="G31" s="13">
        <f t="shared" si="6"/>
        <v>2.4</v>
      </c>
      <c r="H31" s="16">
        <v>900</v>
      </c>
      <c r="I31" s="16">
        <v>600</v>
      </c>
      <c r="J31" s="10"/>
      <c r="K31" s="11" t="s">
        <v>63</v>
      </c>
      <c r="L31" s="11" t="s">
        <v>164</v>
      </c>
      <c r="M31" s="3"/>
      <c r="N31" s="5" t="s">
        <v>165</v>
      </c>
      <c r="O31" s="5" t="s">
        <v>166</v>
      </c>
    </row>
    <row r="32" spans="1:15" ht="18.75" customHeight="1" x14ac:dyDescent="0.25">
      <c r="A32" s="10">
        <v>19</v>
      </c>
      <c r="B32" s="17" t="s">
        <v>19</v>
      </c>
      <c r="C32" s="11" t="s">
        <v>46</v>
      </c>
      <c r="D32" s="11" t="s">
        <v>149</v>
      </c>
      <c r="E32" s="12">
        <v>300</v>
      </c>
      <c r="F32" s="13">
        <f t="shared" si="5"/>
        <v>59.6</v>
      </c>
      <c r="G32" s="13">
        <f t="shared" si="6"/>
        <v>0.4</v>
      </c>
      <c r="H32" s="10">
        <v>2700</v>
      </c>
      <c r="I32" s="10">
        <v>600</v>
      </c>
      <c r="J32" s="10"/>
      <c r="K32" s="11" t="s">
        <v>51</v>
      </c>
      <c r="L32" s="11" t="s">
        <v>167</v>
      </c>
      <c r="M32" s="3" t="s">
        <v>54</v>
      </c>
      <c r="N32" s="5" t="s">
        <v>168</v>
      </c>
      <c r="O32" s="5" t="s">
        <v>169</v>
      </c>
    </row>
    <row r="33" spans="1:15" ht="18.75" customHeight="1" x14ac:dyDescent="0.25">
      <c r="A33" s="10">
        <v>20</v>
      </c>
      <c r="B33" s="11" t="s">
        <v>8</v>
      </c>
      <c r="C33" s="11" t="s">
        <v>46</v>
      </c>
      <c r="D33" s="11" t="s">
        <v>150</v>
      </c>
      <c r="E33" s="12">
        <v>200</v>
      </c>
      <c r="F33" s="13">
        <f t="shared" si="5"/>
        <v>59.4</v>
      </c>
      <c r="G33" s="13">
        <f t="shared" ref="G33" si="7">2*(60/E33)</f>
        <v>0.6</v>
      </c>
      <c r="H33" s="10">
        <v>3000</v>
      </c>
      <c r="I33" s="16">
        <v>600</v>
      </c>
      <c r="J33" s="10"/>
      <c r="K33" s="11" t="s">
        <v>51</v>
      </c>
      <c r="L33" s="11" t="s">
        <v>190</v>
      </c>
      <c r="M33" s="6"/>
      <c r="N33" s="5" t="s">
        <v>191</v>
      </c>
      <c r="O33" s="5" t="s">
        <v>192</v>
      </c>
    </row>
    <row r="34" spans="1:15" ht="18.75" customHeight="1" x14ac:dyDescent="0.25">
      <c r="A34" s="10">
        <v>21</v>
      </c>
      <c r="B34" s="17" t="s">
        <v>20</v>
      </c>
      <c r="C34" s="11" t="s">
        <v>46</v>
      </c>
      <c r="D34" s="11" t="s">
        <v>151</v>
      </c>
      <c r="E34" s="12">
        <v>200</v>
      </c>
      <c r="F34" s="13">
        <f t="shared" si="5"/>
        <v>59.4</v>
      </c>
      <c r="G34" s="13">
        <f t="shared" si="6"/>
        <v>0.6</v>
      </c>
      <c r="H34" s="10">
        <v>900</v>
      </c>
      <c r="I34" s="10">
        <v>600</v>
      </c>
      <c r="J34" s="10"/>
      <c r="K34" s="11" t="s">
        <v>80</v>
      </c>
      <c r="L34" s="17" t="s">
        <v>170</v>
      </c>
      <c r="M34" s="3" t="s">
        <v>54</v>
      </c>
      <c r="N34" s="5" t="s">
        <v>171</v>
      </c>
      <c r="O34" s="5" t="s">
        <v>172</v>
      </c>
    </row>
    <row r="35" spans="1:15" ht="18.75" customHeight="1" x14ac:dyDescent="0.25">
      <c r="A35" s="10">
        <v>22</v>
      </c>
      <c r="B35" s="11" t="s">
        <v>173</v>
      </c>
      <c r="C35" s="11" t="s">
        <v>46</v>
      </c>
      <c r="D35" s="11" t="s">
        <v>152</v>
      </c>
      <c r="E35" s="12">
        <v>50</v>
      </c>
      <c r="F35" s="13">
        <f t="shared" si="5"/>
        <v>57.6</v>
      </c>
      <c r="G35" s="13">
        <f t="shared" si="6"/>
        <v>2.4</v>
      </c>
      <c r="H35" s="10">
        <v>3000</v>
      </c>
      <c r="I35" s="10">
        <v>300</v>
      </c>
      <c r="J35" s="18" t="s">
        <v>175</v>
      </c>
      <c r="K35" s="11" t="s">
        <v>63</v>
      </c>
      <c r="L35" s="11" t="s">
        <v>174</v>
      </c>
      <c r="M35" s="3"/>
      <c r="N35" s="5" t="s">
        <v>176</v>
      </c>
      <c r="O35" s="5" t="s">
        <v>177</v>
      </c>
    </row>
    <row r="36" spans="1:15" ht="18.75" customHeight="1" x14ac:dyDescent="0.25">
      <c r="A36" s="38">
        <v>23</v>
      </c>
      <c r="B36" s="11" t="s">
        <v>178</v>
      </c>
      <c r="C36" s="11" t="s">
        <v>46</v>
      </c>
      <c r="D36" s="35" t="s">
        <v>153</v>
      </c>
      <c r="E36" s="12">
        <v>50</v>
      </c>
      <c r="F36" s="41">
        <f>60-G36-G37</f>
        <v>57</v>
      </c>
      <c r="G36" s="13">
        <f t="shared" si="6"/>
        <v>2.4</v>
      </c>
      <c r="H36" s="38">
        <v>3000</v>
      </c>
      <c r="I36" s="10">
        <v>300</v>
      </c>
      <c r="J36" s="10"/>
      <c r="K36" s="11" t="s">
        <v>63</v>
      </c>
      <c r="L36" s="11"/>
      <c r="M36" s="3"/>
      <c r="N36" s="5" t="s">
        <v>1</v>
      </c>
      <c r="O36" s="5" t="s">
        <v>179</v>
      </c>
    </row>
    <row r="37" spans="1:15" ht="18.75" customHeight="1" x14ac:dyDescent="0.25">
      <c r="A37" s="45"/>
      <c r="B37" s="11" t="s">
        <v>24</v>
      </c>
      <c r="C37" s="11" t="s">
        <v>48</v>
      </c>
      <c r="D37" s="37"/>
      <c r="E37" s="12">
        <v>200</v>
      </c>
      <c r="F37" s="43"/>
      <c r="G37" s="13">
        <f t="shared" si="6"/>
        <v>0.6</v>
      </c>
      <c r="H37" s="40"/>
      <c r="I37" s="16">
        <v>600</v>
      </c>
      <c r="J37" s="10"/>
      <c r="K37" s="11" t="s">
        <v>80</v>
      </c>
      <c r="L37" s="11" t="s">
        <v>159</v>
      </c>
      <c r="M37" s="3" t="s">
        <v>180</v>
      </c>
      <c r="N37" s="5" t="s">
        <v>181</v>
      </c>
      <c r="O37" s="5" t="s">
        <v>182</v>
      </c>
    </row>
    <row r="38" spans="1:15" ht="18.75" customHeight="1" x14ac:dyDescent="0.25">
      <c r="A38" s="33">
        <v>24</v>
      </c>
      <c r="B38" s="17" t="s">
        <v>23</v>
      </c>
      <c r="C38" s="11" t="s">
        <v>46</v>
      </c>
      <c r="D38" s="32" t="s">
        <v>154</v>
      </c>
      <c r="E38" s="12">
        <v>200</v>
      </c>
      <c r="F38" s="13">
        <f t="shared" ref="F38:F39" si="8">60-G38</f>
        <v>59.4</v>
      </c>
      <c r="G38" s="13">
        <f t="shared" si="6"/>
        <v>0.6</v>
      </c>
      <c r="H38" s="33">
        <v>3000</v>
      </c>
      <c r="I38" s="10">
        <v>600</v>
      </c>
      <c r="J38" s="10"/>
      <c r="K38" s="11" t="s">
        <v>158</v>
      </c>
      <c r="L38" s="11" t="s">
        <v>183</v>
      </c>
      <c r="M38" s="3" t="s">
        <v>54</v>
      </c>
      <c r="N38" s="5" t="s">
        <v>184</v>
      </c>
      <c r="O38" s="5" t="s">
        <v>185</v>
      </c>
    </row>
    <row r="39" spans="1:15" ht="18.75" customHeight="1" x14ac:dyDescent="0.25">
      <c r="A39" s="33">
        <v>25</v>
      </c>
      <c r="B39" s="17" t="s">
        <v>14</v>
      </c>
      <c r="C39" s="11" t="s">
        <v>46</v>
      </c>
      <c r="D39" s="32" t="s">
        <v>156</v>
      </c>
      <c r="E39" s="12">
        <v>50</v>
      </c>
      <c r="F39" s="13">
        <f t="shared" si="8"/>
        <v>57.6</v>
      </c>
      <c r="G39" s="13">
        <f t="shared" si="6"/>
        <v>2.4</v>
      </c>
      <c r="H39" s="33">
        <v>3000</v>
      </c>
      <c r="I39" s="10">
        <v>300</v>
      </c>
      <c r="J39" s="18" t="s">
        <v>187</v>
      </c>
      <c r="K39" s="11" t="s">
        <v>63</v>
      </c>
      <c r="L39" s="11" t="s">
        <v>186</v>
      </c>
      <c r="M39" s="3" t="s">
        <v>155</v>
      </c>
      <c r="N39" s="5" t="s">
        <v>188</v>
      </c>
      <c r="O39" s="5" t="s">
        <v>189</v>
      </c>
    </row>
    <row r="40" spans="1:15" ht="18.75" customHeight="1" x14ac:dyDescent="0.25">
      <c r="A40" s="38">
        <v>26</v>
      </c>
      <c r="B40" s="11" t="s">
        <v>0</v>
      </c>
      <c r="C40" s="11" t="s">
        <v>46</v>
      </c>
      <c r="D40" s="35" t="s">
        <v>157</v>
      </c>
      <c r="E40" s="12">
        <v>200</v>
      </c>
      <c r="F40" s="41">
        <f>60-G40-G41-G42</f>
        <v>57.9</v>
      </c>
      <c r="G40" s="13">
        <f t="shared" si="6"/>
        <v>0.6</v>
      </c>
      <c r="H40" s="38">
        <v>1800</v>
      </c>
      <c r="I40" s="16">
        <v>600</v>
      </c>
      <c r="J40" s="10"/>
      <c r="K40" s="11" t="s">
        <v>80</v>
      </c>
      <c r="L40" s="11" t="s">
        <v>193</v>
      </c>
      <c r="M40" s="3"/>
      <c r="N40" s="5" t="s">
        <v>194</v>
      </c>
      <c r="O40" s="5" t="s">
        <v>195</v>
      </c>
    </row>
    <row r="41" spans="1:15" ht="18.75" customHeight="1" x14ac:dyDescent="0.25">
      <c r="A41" s="44"/>
      <c r="B41" s="17" t="s">
        <v>14</v>
      </c>
      <c r="C41" s="11" t="s">
        <v>76</v>
      </c>
      <c r="D41" s="36"/>
      <c r="E41" s="12">
        <v>100</v>
      </c>
      <c r="F41" s="42"/>
      <c r="G41" s="13">
        <f t="shared" si="6"/>
        <v>1.2</v>
      </c>
      <c r="H41" s="39"/>
      <c r="I41" s="10">
        <v>300</v>
      </c>
      <c r="J41" s="18" t="s">
        <v>198</v>
      </c>
      <c r="K41" s="11" t="s">
        <v>196</v>
      </c>
      <c r="L41" s="11" t="s">
        <v>197</v>
      </c>
      <c r="M41" s="3"/>
      <c r="N41" s="5" t="s">
        <v>188</v>
      </c>
      <c r="O41" s="5" t="s">
        <v>189</v>
      </c>
    </row>
    <row r="42" spans="1:15" ht="18.75" customHeight="1" x14ac:dyDescent="0.25">
      <c r="A42" s="45"/>
      <c r="B42" s="11" t="s">
        <v>199</v>
      </c>
      <c r="C42" s="11" t="s">
        <v>199</v>
      </c>
      <c r="D42" s="37"/>
      <c r="E42" s="12">
        <v>400</v>
      </c>
      <c r="F42" s="43"/>
      <c r="G42" s="13">
        <f t="shared" si="6"/>
        <v>0.3</v>
      </c>
      <c r="H42" s="40"/>
      <c r="I42" s="10">
        <v>300</v>
      </c>
      <c r="J42" s="10"/>
      <c r="K42" s="11"/>
      <c r="L42" s="11"/>
      <c r="M42" s="3"/>
      <c r="N42" s="5" t="s">
        <v>200</v>
      </c>
      <c r="O42" s="5" t="s">
        <v>201</v>
      </c>
    </row>
    <row r="43" spans="1:15" ht="18.75" customHeight="1" x14ac:dyDescent="0.25">
      <c r="A43" s="19"/>
      <c r="B43" s="20"/>
      <c r="C43" s="20"/>
      <c r="D43" s="21"/>
      <c r="E43" s="21"/>
      <c r="F43" s="22"/>
      <c r="G43" s="22"/>
      <c r="H43" s="23">
        <f>SUM(H5:H42)*1.1</f>
        <v>74580</v>
      </c>
      <c r="I43" s="24">
        <f>SUM(I5:I42)</f>
        <v>15601</v>
      </c>
      <c r="J43" s="19"/>
      <c r="K43" s="20"/>
      <c r="L43" s="20"/>
      <c r="M43" s="7"/>
      <c r="N43" s="8"/>
      <c r="O43" s="8"/>
    </row>
    <row r="44" spans="1:15" ht="18.75" customHeight="1" x14ac:dyDescent="0.25">
      <c r="A44" s="19"/>
      <c r="B44" s="20"/>
      <c r="C44" s="20"/>
      <c r="D44" s="21"/>
      <c r="E44" s="21"/>
      <c r="F44" s="22"/>
      <c r="G44" s="22"/>
      <c r="H44" s="23">
        <f>H43/60</f>
        <v>1243</v>
      </c>
      <c r="I44" s="23">
        <f>I43/60</f>
        <v>260.01666666666665</v>
      </c>
      <c r="J44" s="19"/>
      <c r="K44" s="20"/>
      <c r="L44" s="20"/>
      <c r="M44" s="7"/>
      <c r="N44" s="8"/>
      <c r="O44" s="8"/>
    </row>
    <row r="45" spans="1:15" ht="18.75" customHeight="1" x14ac:dyDescent="0.25">
      <c r="A45" s="19"/>
      <c r="B45" s="20"/>
      <c r="C45" s="20"/>
      <c r="D45" s="21"/>
      <c r="E45" s="21"/>
      <c r="F45" s="22"/>
      <c r="G45" s="22"/>
      <c r="H45" s="23">
        <f>H44/60</f>
        <v>20.716666666666665</v>
      </c>
      <c r="I45" s="23" t="e">
        <f>(I44/60)*#REF!</f>
        <v>#REF!</v>
      </c>
      <c r="J45" s="19"/>
      <c r="K45" s="20"/>
      <c r="L45" s="20"/>
      <c r="M45" s="7"/>
      <c r="N45" s="8"/>
      <c r="O45" s="8"/>
    </row>
    <row r="46" spans="1:15" ht="18.75" customHeight="1" x14ac:dyDescent="0.25">
      <c r="A46" s="19"/>
      <c r="B46" s="20"/>
      <c r="C46" s="20"/>
      <c r="D46" s="21"/>
      <c r="E46" s="21"/>
      <c r="F46" s="22"/>
      <c r="G46" s="22"/>
      <c r="H46" s="23"/>
      <c r="I46" s="23" t="e">
        <f>I45+H45</f>
        <v>#REF!</v>
      </c>
      <c r="J46" s="19"/>
      <c r="K46" s="20"/>
      <c r="L46" s="20"/>
      <c r="M46" s="7"/>
      <c r="N46" s="8"/>
      <c r="O46" s="8"/>
    </row>
    <row r="47" spans="1:15" ht="18.75" customHeight="1" x14ac:dyDescent="0.25">
      <c r="A47" s="19"/>
      <c r="B47" s="20"/>
      <c r="C47" s="20"/>
      <c r="D47" s="21"/>
      <c r="E47" s="21"/>
      <c r="F47" s="22"/>
      <c r="G47" s="22"/>
      <c r="H47" s="25" t="s">
        <v>202</v>
      </c>
      <c r="I47" s="26" t="e">
        <f>(I46+((50*20)/60))</f>
        <v>#REF!</v>
      </c>
      <c r="J47" s="19"/>
      <c r="K47" s="20"/>
      <c r="L47" s="20"/>
      <c r="M47" s="7"/>
      <c r="N47" s="8"/>
      <c r="O47" s="8"/>
    </row>
    <row r="48" spans="1:15" ht="18.75" customHeight="1" x14ac:dyDescent="0.25">
      <c r="A48" s="19"/>
      <c r="B48" s="20"/>
      <c r="C48" s="20"/>
      <c r="D48" s="21"/>
      <c r="E48" s="21"/>
      <c r="F48" s="22"/>
      <c r="G48" s="22"/>
      <c r="H48" s="25" t="s">
        <v>203</v>
      </c>
      <c r="I48" s="26" t="e">
        <f>I47/24</f>
        <v>#REF!</v>
      </c>
      <c r="J48" s="19"/>
      <c r="K48" s="20"/>
      <c r="L48" s="20"/>
      <c r="M48" s="7"/>
      <c r="N48" s="8"/>
      <c r="O48" s="8"/>
    </row>
  </sheetData>
  <mergeCells count="34">
    <mergeCell ref="A3:A6"/>
    <mergeCell ref="A8:A11"/>
    <mergeCell ref="D8:D11"/>
    <mergeCell ref="F8:F11"/>
    <mergeCell ref="H8:H11"/>
    <mergeCell ref="A12:A14"/>
    <mergeCell ref="D12:D14"/>
    <mergeCell ref="F12:F14"/>
    <mergeCell ref="H12:H14"/>
    <mergeCell ref="A16:A17"/>
    <mergeCell ref="D16:D17"/>
    <mergeCell ref="F16:F17"/>
    <mergeCell ref="H16:H17"/>
    <mergeCell ref="H20:H21"/>
    <mergeCell ref="A36:A37"/>
    <mergeCell ref="D36:D37"/>
    <mergeCell ref="F36:F37"/>
    <mergeCell ref="H36:H37"/>
    <mergeCell ref="J1:O1"/>
    <mergeCell ref="D3:D6"/>
    <mergeCell ref="H3:H6"/>
    <mergeCell ref="F3:F6"/>
    <mergeCell ref="A40:A42"/>
    <mergeCell ref="D40:D42"/>
    <mergeCell ref="F40:F42"/>
    <mergeCell ref="H40:H42"/>
    <mergeCell ref="A1:I1"/>
    <mergeCell ref="A18:A19"/>
    <mergeCell ref="D18:D19"/>
    <mergeCell ref="F18:F19"/>
    <mergeCell ref="H18:H19"/>
    <mergeCell ref="A20:A21"/>
    <mergeCell ref="D20:D21"/>
    <mergeCell ref="F20:F21"/>
  </mergeCells>
  <phoneticPr fontId="9" type="noConversion"/>
  <conditionalFormatting sqref="A1:I1 C3:C1048576">
    <cfRule type="cellIs" dxfId="10" priority="1" operator="equal">
      <formula>"GFP"</formula>
    </cfRule>
  </conditionalFormatting>
  <conditionalFormatting sqref="C3:C1048576">
    <cfRule type="cellIs" dxfId="9" priority="2" operator="equal">
      <formula>"Sytox"</formula>
    </cfRule>
    <cfRule type="cellIs" dxfId="8" priority="3" operator="equal">
      <formula>"GFP"</formula>
    </cfRule>
    <cfRule type="cellIs" dxfId="7" priority="4" operator="equal">
      <formula>"FITC"</formula>
    </cfRule>
    <cfRule type="cellIs" dxfId="6" priority="5" operator="equal">
      <formula>"A647"</formula>
    </cfRule>
    <cfRule type="cellIs" dxfId="5" priority="6" operator="equal">
      <formula>"APC"</formula>
    </cfRule>
    <cfRule type="cellIs" dxfId="4" priority="7" operator="equal">
      <formula>"A405"</formula>
    </cfRule>
    <cfRule type="cellIs" dxfId="3" priority="8" operator="equal">
      <formula>"A488"</formula>
    </cfRule>
    <cfRule type="cellIs" dxfId="2" priority="9" operator="equal">
      <formula>"A555"</formula>
    </cfRule>
    <cfRule type="cellIs" dxfId="1" priority="10" operator="equal">
      <formula>"PE"</formula>
    </cfRule>
    <cfRule type="expression" dxfId="0" priority="12">
      <formula>"GFP"</formula>
    </cfRule>
  </conditionalFormatting>
  <dataValidations count="1">
    <dataValidation type="list" allowBlank="1" showInputMessage="1" showErrorMessage="1" sqref="C3:C1048576" xr:uid="{00000000-0002-0000-0100-000000000000}">
      <formula1>"PE,A555,FITC,Sytox,GFP,A488,APC,A647,DAPI"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Run_settings</vt:lpstr>
      <vt:lpstr>MELC_panel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Kroh, Sandy</cp:lastModifiedBy>
  <dcterms:created xsi:type="dcterms:W3CDTF">2026-02-13T09:06:58Z</dcterms:created>
  <dcterms:modified xsi:type="dcterms:W3CDTF">2026-02-25T10:39:21Z</dcterms:modified>
</cp:coreProperties>
</file>